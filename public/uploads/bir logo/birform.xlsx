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raga\Downloads\"/>
    </mc:Choice>
  </mc:AlternateContent>
  <xr:revisionPtr revIDLastSave="0" documentId="8_{DBE0EAE3-4D2B-4417-B54E-FBAD1B56A78B}" xr6:coauthVersionLast="47" xr6:coauthVersionMax="47" xr10:uidLastSave="{00000000-0000-0000-0000-000000000000}"/>
  <bookViews>
    <workbookView xWindow="-108" yWindow="-108" windowWidth="23256" windowHeight="13176" xr2:uid="{FFB81972-F726-4D05-9B33-C51E3F6F7AE4}"/>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Y59" i="1" l="1"/>
  <c r="T59" i="1"/>
  <c r="O59" i="1"/>
  <c r="AT53" i="1"/>
  <c r="AD47" i="1"/>
  <c r="AD59" i="1" s="1"/>
  <c r="A47" i="1"/>
  <c r="AQ23" i="1"/>
  <c r="AR13" i="1"/>
  <c r="AE13" i="1" s="1"/>
  <c r="P13" i="1"/>
  <c r="O13" i="1"/>
  <c r="N13" i="1"/>
  <c r="M13" i="1"/>
  <c r="L13" i="1"/>
  <c r="AG13" i="1" l="1"/>
  <c r="AI47" i="1"/>
  <c r="AI59" i="1" s="1"/>
  <c r="AF13" i="1"/>
  <c r="AC13" i="1"/>
</calcChain>
</file>

<file path=xl/sharedStrings.xml><?xml version="1.0" encoding="utf-8"?>
<sst xmlns="http://schemas.openxmlformats.org/spreadsheetml/2006/main" count="67" uniqueCount="49">
  <si>
    <t>Republic of the Philippines</t>
  </si>
  <si>
    <t>Department of Finance</t>
  </si>
  <si>
    <t>Bureau of Internal Revenue</t>
  </si>
  <si>
    <t>Certificate of Creditable Tax Withheld at Source</t>
  </si>
  <si>
    <t>Fill in all applicable spaces. Mark all appropriate boxes with an "X".</t>
  </si>
  <si>
    <t>For the Period</t>
  </si>
  <si>
    <t xml:space="preserve"> From</t>
  </si>
  <si>
    <t>(MM/DD/YYYY)</t>
  </si>
  <si>
    <t>To</t>
  </si>
  <si>
    <t>20250701</t>
  </si>
  <si>
    <t>Part I – Payee Information</t>
  </si>
  <si>
    <r>
      <t xml:space="preserve">Taxpayer Identification Number </t>
    </r>
    <r>
      <rPr>
        <i/>
        <sz val="8"/>
        <color theme="1"/>
        <rFont val="Arial"/>
        <family val="2"/>
      </rPr>
      <t>(TIN)</t>
    </r>
  </si>
  <si>
    <t>-</t>
  </si>
  <si>
    <r>
      <t xml:space="preserve">Payee’s Name </t>
    </r>
    <r>
      <rPr>
        <i/>
        <sz val="8"/>
        <color theme="1"/>
        <rFont val="Arial"/>
        <family val="2"/>
      </rPr>
      <t>(Last Name, First Name, Middle Name for Individual OR Registered Name for Non-Individual)</t>
    </r>
  </si>
  <si>
    <t>10-17 Consulit Technologies &amp; Services Inc.</t>
  </si>
  <si>
    <t>z</t>
  </si>
  <si>
    <t>Registered Address</t>
  </si>
  <si>
    <t>4A</t>
  </si>
  <si>
    <t>ZIP Code</t>
  </si>
  <si>
    <t>5 Tiburcio Ext. Kruz na Ligas, Quezon City Metro Manila Philippines</t>
  </si>
  <si>
    <r>
      <t xml:space="preserve">Foreign Address, </t>
    </r>
    <r>
      <rPr>
        <i/>
        <sz val="8"/>
        <color theme="1"/>
        <rFont val="Arial"/>
        <family val="2"/>
      </rPr>
      <t xml:space="preserve">if applicable </t>
    </r>
  </si>
  <si>
    <t>Part II – Payor Information</t>
  </si>
  <si>
    <r>
      <t xml:space="preserve">Payor’s Name </t>
    </r>
    <r>
      <rPr>
        <i/>
        <sz val="8"/>
        <color theme="1"/>
        <rFont val="Arial"/>
        <family val="2"/>
      </rPr>
      <t>(Last Name, First Name, Middle Name for Individual OR Registered Name for Non-Individual)</t>
    </r>
  </si>
  <si>
    <t>ORIENTAL CONSULTANTS GLOBAL CO. LTD. - PHILIPPINE BRANCH</t>
  </si>
  <si>
    <t>8A</t>
  </si>
  <si>
    <t>UNIT 38C RUFINO PACIFIC TOWER, 6784 AYALA AVE., BRGY. SAN LORENZO, 4TH DIST., MAKATI CITY</t>
  </si>
  <si>
    <t>Part III – Details of Monthly Income Payments and Taxes Withheld</t>
  </si>
  <si>
    <t>Income Payments Subject to Expanded Withholding Tax</t>
  </si>
  <si>
    <t>ATC</t>
  </si>
  <si>
    <t>AMOUNT OF INCOME PAYMENTS</t>
  </si>
  <si>
    <t>Tax Withheld for the Quarter</t>
  </si>
  <si>
    <t>1st Month of the Quarter</t>
  </si>
  <si>
    <t>2nd Month of the Quarter</t>
  </si>
  <si>
    <t>3rd Month of the Quarter</t>
  </si>
  <si>
    <t>Total</t>
  </si>
  <si>
    <t>TAX RATE</t>
  </si>
  <si>
    <t>WC160</t>
  </si>
  <si>
    <t>Money Payments Subject to Withholding of Business Tax (Government &amp; Private)</t>
  </si>
  <si>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</si>
  <si>
    <r>
      <t xml:space="preserve">ELSA G. OCRETO
</t>
    </r>
    <r>
      <rPr>
        <sz val="8"/>
        <color theme="1"/>
        <rFont val="Arial"/>
        <family val="2"/>
      </rPr>
      <t>ASSISTANT GENERAL MANAGER, FINANCE &amp; ACCOUNTING /TIN 119-839-069</t>
    </r>
  </si>
  <si>
    <t xml:space="preserve">Signature over Printed Name of Payor/Payor’s Authorized Representative/Tax Agent </t>
  </si>
  <si>
    <t xml:space="preserve"> (Indicate Title/Designation and TIN)</t>
  </si>
  <si>
    <t>Tax Agent Accreditation No./</t>
  </si>
  <si>
    <r>
      <t xml:space="preserve">Date of Issue
</t>
    </r>
    <r>
      <rPr>
        <i/>
        <sz val="7"/>
        <color theme="1"/>
        <rFont val="Arial"/>
        <family val="2"/>
      </rPr>
      <t>(MM/DD/YYYY)</t>
    </r>
  </si>
  <si>
    <t>Date of Expiry</t>
  </si>
  <si>
    <t>Attorney’s Roll No. (if applicable)</t>
  </si>
  <si>
    <t>CONFORME:</t>
  </si>
  <si>
    <t xml:space="preserve">Signature over Printed Name of Payee/Payee’s Authorized Representative/Tax Agent </t>
  </si>
  <si>
    <t xml:space="preserve"> *NOTE: The BIR Data Privacy is in the BIR website (www.bir.gov.ph)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</si>
</sst>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font>
      <sz val="11"/>
      <color theme="1"/>
      <name val="Aptos Narrow"/>
      <family val="2"/>
      <scheme val="minor"/>
    </font>
    <font>
      <sz val="11"/>
      <color theme="1"/>
      <name val="Aptos Narrow"/>
      <family val="2"/>
      <scheme val="minor"/>
    </font>
    <font>
      <sz val="8"/>
      <color theme="1"/>
      <name val="Arial"/>
      <family val="2"/>
    </font>
    <font>
      <sz val="9"/>
      <color theme="1"/>
      <name val="Times New Roman"/>
      <family val="1"/>
    </font>
    <font>
      <b/>
      <sz val="8"/>
      <color theme="1"/>
      <name val="Arial"/>
      <family val="2"/>
    </font>
    <font>
      <sz val="9"/>
      <color rgb="FFFF0000"/>
      <name val="Times New Roman"/>
      <family val="1"/>
    </font>
    <font>
      <b/>
      <sz val="9"/>
      <color rgb="FFFF0000"/>
      <name val="Times New Roman"/>
      <family val="1"/>
    </font>
    <font>
      <b/>
      <sz val="16"/>
      <color theme="1"/>
      <name val="Arial"/>
      <family val="2"/>
    </font>
    <font>
      <i/>
      <sz val="6"/>
      <color theme="1"/>
      <name val="Arial"/>
      <family val="2"/>
    </font>
    <font>
      <i/>
      <sz val="8"/>
      <color theme="1"/>
      <name val="Arial"/>
      <family val="2"/>
    </font>
    <font>
      <sz val="11"/>
      <color theme="1"/>
      <name val="Times New Roman"/>
      <family val="1"/>
    </font>
    <font>
      <b/>
      <sz val="11"/>
      <color rgb="FF0000FF"/>
      <name val="Times New Roman"/>
      <family val="1"/>
    </font>
    <font>
      <sz val="10"/>
      <color theme="1"/>
      <name val="Times New Roman"/>
      <family val="1"/>
    </font>
    <font>
      <sz val="10"/>
      <name val="Times New Roman"/>
      <family val="1"/>
    </font>
    <font>
      <b/>
      <sz val="9"/>
      <color theme="1"/>
      <name val="Times New Roman"/>
      <family val="1"/>
    </font>
    <font>
      <sz val="7.5"/>
      <color theme="1"/>
      <name val="Arial"/>
      <family val="2"/>
    </font>
    <font>
      <i/>
      <sz val="7"/>
      <color theme="1"/>
      <name val="Arial"/>
      <family val="2"/>
    </font>
  </fonts>
  <fills count="3">
    <fill>
      <patternFill patternType="none"/>
    </fill>
    <fill>
      <patternFill patternType="gray125"/>
    </fill>
    <fill>
      <patternFill patternType="solid">
        <fgColor theme="0" tint="-0.249977111117893"/>
        <bgColor indexed="64"/>
      </patternFill>
    </fill>
  </fills>
  <borders count="40">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3">
    <xf numFmtId="0" fontId="0" fillId="0" borderId="0"/>
    <xf numFmtId="0" fontId="1" fillId="0" borderId="0"/>
    <xf numFmtId="9" fontId="1" fillId="0" borderId="0" applyFont="0" applyFill="0" applyBorder="0" applyAlignment="0" applyProtection="0"/>
  </cellStyleXfs>
  <cellXfs count="221">
    <xf numFmtId="0" fontId="0" fillId="0" borderId="0" xfId="0"/>
    <xf numFmtId="0" fontId="2" fillId="0" borderId="0" xfId="1" applyFont="1" applyAlignment="1">
      <alignment vertical="center"/>
    </xf>
    <xf numFmtId="0" fontId="3" fillId="0" borderId="0" xfId="1" applyFont="1" applyAlignment="1">
      <alignment horizontal="center" vertical="center"/>
    </xf>
    <xf numFmtId="0" fontId="3" fillId="0" borderId="0" xfId="1" applyFont="1" applyAlignment="1">
      <alignment vertical="center"/>
    </xf>
    <xf numFmtId="0" fontId="4" fillId="0" borderId="0" xfId="1" applyFont="1" applyAlignment="1">
      <alignment vertical="center"/>
    </xf>
    <xf numFmtId="0" fontId="4" fillId="0" borderId="0" xfId="1" applyFont="1" applyAlignment="1">
      <alignment horizontal="center" vertical="center"/>
    </xf>
    <xf numFmtId="14" fontId="4" fillId="0" borderId="0" xfId="1" applyNumberFormat="1" applyFont="1" applyAlignment="1">
      <alignment horizontal="right" vertical="center"/>
    </xf>
    <xf numFmtId="0" fontId="5" fillId="0" borderId="0" xfId="1" applyFont="1" applyAlignment="1">
      <alignment horizontal="center" vertical="center"/>
    </xf>
    <xf numFmtId="0" fontId="4" fillId="0" borderId="0" xfId="1" applyFont="1" applyAlignment="1">
      <alignment horizontal="right" vertical="center"/>
    </xf>
    <xf numFmtId="0" fontId="6" fillId="0" borderId="0" xfId="1" applyFont="1" applyAlignment="1">
      <alignment horizontal="center" vertical="center"/>
    </xf>
    <xf numFmtId="0" fontId="4" fillId="0" borderId="0" xfId="1" applyFont="1" applyAlignment="1">
      <alignment vertical="top"/>
    </xf>
    <xf numFmtId="0" fontId="4" fillId="0" borderId="1" xfId="1" applyFont="1" applyBorder="1" applyAlignment="1">
      <alignment horizontal="center" vertical="top"/>
    </xf>
    <xf numFmtId="0" fontId="7" fillId="0" borderId="2" xfId="1" applyFont="1" applyBorder="1" applyAlignment="1">
      <alignment vertical="center" wrapText="1"/>
    </xf>
    <xf numFmtId="0" fontId="7" fillId="0" borderId="3" xfId="1" applyFont="1" applyBorder="1" applyAlignment="1">
      <alignment vertical="center"/>
    </xf>
    <xf numFmtId="0" fontId="7" fillId="0" borderId="4" xfId="1" applyFont="1" applyBorder="1" applyAlignment="1">
      <alignment vertical="center"/>
    </xf>
    <xf numFmtId="0" fontId="7" fillId="0" borderId="3" xfId="1" applyFont="1" applyBorder="1" applyAlignment="1">
      <alignment horizontal="center" vertical="center" wrapText="1"/>
    </xf>
    <xf numFmtId="0" fontId="7" fillId="0" borderId="5" xfId="1" applyFont="1" applyBorder="1" applyAlignment="1">
      <alignment vertical="center"/>
    </xf>
    <xf numFmtId="0" fontId="7" fillId="0" borderId="6" xfId="1" applyFont="1" applyBorder="1" applyAlignment="1">
      <alignment vertical="center"/>
    </xf>
    <xf numFmtId="0" fontId="7" fillId="0" borderId="7" xfId="1" applyFont="1" applyBorder="1" applyAlignment="1">
      <alignment vertical="center"/>
    </xf>
    <xf numFmtId="0" fontId="7" fillId="0" borderId="0" xfId="1" applyFont="1" applyAlignment="1">
      <alignment vertical="center"/>
    </xf>
    <xf numFmtId="0" fontId="7" fillId="0" borderId="8" xfId="1" applyFont="1" applyBorder="1" applyAlignment="1">
      <alignment vertical="center"/>
    </xf>
    <xf numFmtId="0" fontId="7" fillId="0" borderId="0" xfId="1" applyFont="1" applyAlignment="1">
      <alignment horizontal="center" vertical="center" wrapText="1"/>
    </xf>
    <xf numFmtId="0" fontId="7" fillId="0" borderId="9" xfId="1" applyFont="1" applyBorder="1" applyAlignment="1">
      <alignment vertical="center"/>
    </xf>
    <xf numFmtId="0" fontId="7" fillId="0" borderId="10" xfId="1" applyFont="1" applyBorder="1" applyAlignment="1">
      <alignment vertical="center"/>
    </xf>
    <xf numFmtId="0" fontId="2" fillId="0" borderId="7" xfId="1" applyFont="1" applyBorder="1" applyAlignment="1">
      <alignment vertical="center"/>
    </xf>
    <xf numFmtId="0" fontId="2" fillId="0" borderId="8" xfId="1" applyFont="1" applyBorder="1" applyAlignment="1">
      <alignment vertical="center"/>
    </xf>
    <xf numFmtId="0" fontId="8" fillId="0" borderId="11" xfId="1" applyFont="1" applyBorder="1" applyAlignment="1">
      <alignment vertical="center"/>
    </xf>
    <xf numFmtId="0" fontId="2" fillId="0" borderId="1" xfId="1" applyFont="1" applyBorder="1" applyAlignment="1">
      <alignment vertical="center"/>
    </xf>
    <xf numFmtId="0" fontId="7" fillId="0" borderId="1" xfId="1" applyFont="1" applyBorder="1" applyAlignment="1">
      <alignment horizontal="center" vertical="center" wrapText="1"/>
    </xf>
    <xf numFmtId="0" fontId="2" fillId="0" borderId="12" xfId="1" applyFont="1" applyBorder="1" applyAlignment="1">
      <alignment vertical="center"/>
    </xf>
    <xf numFmtId="0" fontId="2" fillId="0" borderId="9" xfId="1" applyFont="1" applyBorder="1" applyAlignment="1">
      <alignment vertical="center"/>
    </xf>
    <xf numFmtId="0" fontId="2" fillId="0" borderId="10" xfId="1" applyFont="1" applyBorder="1" applyAlignment="1">
      <alignment vertical="center"/>
    </xf>
    <xf numFmtId="0" fontId="2" fillId="0" borderId="13" xfId="1" applyFont="1" applyBorder="1" applyAlignment="1">
      <alignment vertical="top"/>
    </xf>
    <xf numFmtId="0" fontId="2" fillId="0" borderId="14" xfId="1" applyFont="1" applyBorder="1" applyAlignment="1">
      <alignment vertical="center"/>
    </xf>
    <xf numFmtId="0" fontId="2" fillId="0" borderId="15" xfId="1" applyFont="1" applyBorder="1" applyAlignment="1">
      <alignment vertical="center"/>
    </xf>
    <xf numFmtId="0" fontId="4" fillId="0" borderId="2" xfId="1" applyFont="1" applyBorder="1" applyAlignment="1">
      <alignment horizontal="center" vertical="center"/>
    </xf>
    <xf numFmtId="0" fontId="2" fillId="0" borderId="3" xfId="1" applyFont="1" applyBorder="1" applyAlignment="1">
      <alignment horizontal="center" vertical="center"/>
    </xf>
    <xf numFmtId="0" fontId="2" fillId="0" borderId="3" xfId="1" applyFont="1" applyBorder="1" applyAlignment="1">
      <alignment vertical="center"/>
    </xf>
    <xf numFmtId="0" fontId="2" fillId="0" borderId="3" xfId="1" applyFont="1" applyBorder="1" applyAlignment="1">
      <alignment horizontal="right" vertical="center"/>
    </xf>
    <xf numFmtId="0" fontId="9" fillId="0" borderId="3" xfId="1" applyFont="1" applyBorder="1" applyAlignment="1">
      <alignment horizontal="center" vertical="center"/>
    </xf>
    <xf numFmtId="0" fontId="9" fillId="0" borderId="3" xfId="1" applyFont="1" applyBorder="1" applyAlignment="1">
      <alignment horizontal="left" vertical="center"/>
    </xf>
    <xf numFmtId="0" fontId="9" fillId="0" borderId="6" xfId="1" applyFont="1" applyBorder="1" applyAlignment="1">
      <alignment horizontal="left" vertical="center"/>
    </xf>
    <xf numFmtId="0" fontId="4" fillId="0" borderId="7" xfId="1" applyFont="1" applyBorder="1" applyAlignment="1">
      <alignment horizontal="center" vertical="center"/>
    </xf>
    <xf numFmtId="0" fontId="2" fillId="0" borderId="0" xfId="1" applyFont="1" applyAlignment="1">
      <alignment horizontal="center" vertical="center"/>
    </xf>
    <xf numFmtId="0" fontId="2" fillId="0" borderId="0" xfId="1" applyFont="1" applyAlignment="1">
      <alignment horizontal="right" vertical="center"/>
    </xf>
    <xf numFmtId="0" fontId="2" fillId="0" borderId="16" xfId="1" applyFont="1" applyBorder="1" applyAlignment="1">
      <alignment vertical="center"/>
    </xf>
    <xf numFmtId="0" fontId="2" fillId="0" borderId="17" xfId="1" applyFont="1" applyBorder="1" applyAlignment="1">
      <alignment vertical="center"/>
    </xf>
    <xf numFmtId="0" fontId="2" fillId="0" borderId="18" xfId="1" applyFont="1" applyBorder="1" applyAlignment="1">
      <alignment vertical="center"/>
    </xf>
    <xf numFmtId="0" fontId="9" fillId="0" borderId="0" xfId="1" applyFont="1" applyAlignment="1">
      <alignment horizontal="center" vertical="center"/>
    </xf>
    <xf numFmtId="0" fontId="9" fillId="0" borderId="0" xfId="1" applyFont="1" applyAlignment="1">
      <alignment horizontal="left" vertical="center"/>
    </xf>
    <xf numFmtId="0" fontId="9" fillId="0" borderId="10" xfId="1" applyFont="1" applyBorder="1" applyAlignment="1">
      <alignment horizontal="left" vertical="center"/>
    </xf>
    <xf numFmtId="0" fontId="4" fillId="0" borderId="19" xfId="1" applyFont="1" applyBorder="1" applyAlignment="1">
      <alignment horizontal="center" vertical="center"/>
    </xf>
    <xf numFmtId="0" fontId="2" fillId="0" borderId="1" xfId="1" applyFont="1" applyBorder="1" applyAlignment="1">
      <alignment horizontal="center" vertical="center"/>
    </xf>
    <xf numFmtId="0" fontId="2" fillId="0" borderId="1" xfId="1" applyFont="1" applyBorder="1" applyAlignment="1">
      <alignment horizontal="right" vertical="center"/>
    </xf>
    <xf numFmtId="0" fontId="10" fillId="0" borderId="11" xfId="1" applyFont="1" applyBorder="1" applyAlignment="1">
      <alignment horizontal="center" vertical="top"/>
    </xf>
    <xf numFmtId="0" fontId="10" fillId="0" borderId="20" xfId="1" applyFont="1" applyBorder="1" applyAlignment="1">
      <alignment horizontal="center" vertical="top"/>
    </xf>
    <xf numFmtId="0" fontId="10" fillId="0" borderId="1" xfId="1" applyFont="1" applyBorder="1" applyAlignment="1">
      <alignment horizontal="center" vertical="top"/>
    </xf>
    <xf numFmtId="0" fontId="10" fillId="0" borderId="12" xfId="1" applyFont="1" applyBorder="1" applyAlignment="1">
      <alignment horizontal="center" vertical="top"/>
    </xf>
    <xf numFmtId="0" fontId="9" fillId="0" borderId="1" xfId="1" applyFont="1" applyBorder="1" applyAlignment="1">
      <alignment horizontal="center" vertical="center"/>
    </xf>
    <xf numFmtId="0" fontId="9" fillId="0" borderId="1" xfId="1" applyFont="1" applyBorder="1" applyAlignment="1">
      <alignment horizontal="left" vertical="center"/>
    </xf>
    <xf numFmtId="0" fontId="9" fillId="0" borderId="21" xfId="1" applyFont="1" applyBorder="1" applyAlignment="1">
      <alignment horizontal="left" vertical="center"/>
    </xf>
    <xf numFmtId="14" fontId="3" fillId="0" borderId="0" xfId="1" applyNumberFormat="1" applyFont="1" applyAlignment="1">
      <alignment horizontal="center" vertical="center"/>
    </xf>
    <xf numFmtId="164" fontId="3" fillId="0" borderId="0" xfId="1" applyNumberFormat="1" applyFont="1" applyAlignment="1">
      <alignment vertical="center"/>
    </xf>
    <xf numFmtId="0" fontId="4" fillId="0" borderId="13" xfId="1" applyFont="1" applyBorder="1" applyAlignment="1">
      <alignment horizontal="center" vertical="top"/>
    </xf>
    <xf numFmtId="0" fontId="4" fillId="0" borderId="14" xfId="1" applyFont="1" applyBorder="1" applyAlignment="1">
      <alignment horizontal="center" vertical="top"/>
    </xf>
    <xf numFmtId="0" fontId="4" fillId="0" borderId="15" xfId="1" applyFont="1" applyBorder="1" applyAlignment="1">
      <alignment horizontal="center" vertical="top"/>
    </xf>
    <xf numFmtId="0" fontId="2" fillId="0" borderId="3" xfId="1" applyFont="1" applyBorder="1" applyAlignment="1">
      <alignment horizontal="left" vertical="center"/>
    </xf>
    <xf numFmtId="0" fontId="2" fillId="0" borderId="6" xfId="1" applyFont="1" applyBorder="1" applyAlignment="1">
      <alignment vertical="center"/>
    </xf>
    <xf numFmtId="0" fontId="3" fillId="0" borderId="0" xfId="1" applyFont="1" applyAlignment="1">
      <alignment horizontal="center" vertical="center"/>
    </xf>
    <xf numFmtId="0" fontId="2" fillId="0" borderId="0" xfId="1" applyFont="1" applyAlignment="1">
      <alignment horizontal="left" vertical="center"/>
    </xf>
    <xf numFmtId="0" fontId="2" fillId="2" borderId="22" xfId="1" applyFont="1" applyFill="1" applyBorder="1" applyAlignment="1">
      <alignment vertical="center"/>
    </xf>
    <xf numFmtId="0" fontId="11" fillId="0" borderId="22" xfId="1" applyFont="1" applyBorder="1" applyAlignment="1">
      <alignment horizontal="center" vertical="center"/>
    </xf>
    <xf numFmtId="0" fontId="4" fillId="0" borderId="23" xfId="1" applyFont="1" applyBorder="1" applyAlignment="1">
      <alignment horizontal="center" vertical="center"/>
    </xf>
    <xf numFmtId="0" fontId="2" fillId="0" borderId="24" xfId="1" applyFont="1" applyBorder="1" applyAlignment="1">
      <alignment horizontal="left" vertical="center"/>
    </xf>
    <xf numFmtId="0" fontId="10" fillId="0" borderId="25" xfId="1" applyFont="1" applyBorder="1" applyAlignment="1">
      <alignment horizontal="center" vertical="top"/>
    </xf>
    <xf numFmtId="0" fontId="10" fillId="0" borderId="24" xfId="1" applyFont="1" applyBorder="1" applyAlignment="1">
      <alignment horizontal="center" vertical="top"/>
    </xf>
    <xf numFmtId="0" fontId="2" fillId="2" borderId="25" xfId="1" applyFont="1" applyFill="1" applyBorder="1" applyAlignment="1">
      <alignment horizontal="center" vertical="center"/>
    </xf>
    <xf numFmtId="0" fontId="2" fillId="0" borderId="24" xfId="1" applyFont="1" applyBorder="1" applyAlignment="1">
      <alignment vertical="center"/>
    </xf>
    <xf numFmtId="0" fontId="2" fillId="0" borderId="26" xfId="1" applyFont="1" applyBorder="1" applyAlignment="1">
      <alignment vertical="center"/>
    </xf>
    <xf numFmtId="0" fontId="11" fillId="0" borderId="25" xfId="1" applyFont="1" applyBorder="1" applyAlignment="1">
      <alignment horizontal="center" vertical="center"/>
    </xf>
    <xf numFmtId="0" fontId="4" fillId="0" borderId="7" xfId="1" applyFont="1" applyBorder="1" applyAlignment="1">
      <alignment horizontal="center" vertical="top"/>
    </xf>
    <xf numFmtId="0" fontId="2" fillId="0" borderId="7" xfId="1" applyFont="1" applyBorder="1" applyAlignment="1">
      <alignment vertical="top"/>
    </xf>
    <xf numFmtId="0" fontId="12" fillId="0" borderId="16" xfId="1" applyFont="1" applyBorder="1" applyAlignment="1">
      <alignment horizontal="left" vertical="center" wrapText="1"/>
    </xf>
    <xf numFmtId="0" fontId="12" fillId="0" borderId="17" xfId="1" applyFont="1" applyBorder="1" applyAlignment="1">
      <alignment horizontal="left" vertical="center" wrapText="1"/>
    </xf>
    <xf numFmtId="0" fontId="12" fillId="0" borderId="18" xfId="1" applyFont="1" applyBorder="1" applyAlignment="1">
      <alignment horizontal="left" vertical="center" wrapText="1"/>
    </xf>
    <xf numFmtId="0" fontId="3" fillId="0" borderId="0" xfId="1" applyFont="1" applyAlignment="1">
      <alignment horizontal="left" vertical="center"/>
    </xf>
    <xf numFmtId="0" fontId="12" fillId="0" borderId="27" xfId="1" applyFont="1" applyBorder="1" applyAlignment="1">
      <alignment horizontal="left" vertical="center" wrapText="1"/>
    </xf>
    <xf numFmtId="0" fontId="12" fillId="0" borderId="24" xfId="1" applyFont="1" applyBorder="1" applyAlignment="1">
      <alignment horizontal="left" vertical="center" wrapText="1"/>
    </xf>
    <xf numFmtId="0" fontId="12" fillId="0" borderId="28" xfId="1" applyFont="1" applyBorder="1" applyAlignment="1">
      <alignment horizontal="left" vertical="center" wrapText="1"/>
    </xf>
    <xf numFmtId="0" fontId="4" fillId="0" borderId="0" xfId="1" applyFont="1" applyAlignment="1">
      <alignment horizontal="center" vertical="center"/>
    </xf>
    <xf numFmtId="0" fontId="13" fillId="0" borderId="16" xfId="1" applyFont="1" applyBorder="1" applyAlignment="1">
      <alignment horizontal="left" vertical="center" wrapText="1"/>
    </xf>
    <xf numFmtId="0" fontId="13" fillId="0" borderId="17" xfId="1" applyFont="1" applyBorder="1" applyAlignment="1">
      <alignment horizontal="left" vertical="center" wrapText="1"/>
    </xf>
    <xf numFmtId="0" fontId="13" fillId="0" borderId="18" xfId="1" applyFont="1" applyBorder="1" applyAlignment="1">
      <alignment horizontal="left" vertical="center" wrapText="1"/>
    </xf>
    <xf numFmtId="0" fontId="13" fillId="0" borderId="9" xfId="1" applyFont="1" applyBorder="1" applyAlignment="1">
      <alignment horizontal="left" vertical="center" wrapText="1"/>
    </xf>
    <xf numFmtId="0" fontId="13" fillId="0" borderId="0" xfId="1" applyFont="1" applyAlignment="1">
      <alignment horizontal="left" vertical="center" wrapText="1"/>
    </xf>
    <xf numFmtId="0" fontId="13" fillId="0" borderId="8" xfId="1" applyFont="1" applyBorder="1" applyAlignment="1">
      <alignment horizontal="left" vertical="center" wrapText="1"/>
    </xf>
    <xf numFmtId="0" fontId="10" fillId="0" borderId="9" xfId="1" applyFont="1" applyBorder="1" applyAlignment="1">
      <alignment horizontal="center" vertical="center"/>
    </xf>
    <xf numFmtId="0" fontId="10" fillId="0" borderId="29" xfId="1" applyFont="1" applyBorder="1" applyAlignment="1">
      <alignment horizontal="center" vertical="center"/>
    </xf>
    <xf numFmtId="0" fontId="10" fillId="0" borderId="0" xfId="1" applyFont="1" applyAlignment="1">
      <alignment horizontal="center" vertical="center"/>
    </xf>
    <xf numFmtId="0" fontId="13" fillId="0" borderId="27" xfId="1" applyFont="1" applyBorder="1" applyAlignment="1">
      <alignment horizontal="left" vertical="center" wrapText="1"/>
    </xf>
    <xf numFmtId="0" fontId="13" fillId="0" borderId="24" xfId="1" applyFont="1" applyBorder="1" applyAlignment="1">
      <alignment horizontal="left" vertical="center" wrapText="1"/>
    </xf>
    <xf numFmtId="0" fontId="13" fillId="0" borderId="28" xfId="1" applyFont="1" applyBorder="1" applyAlignment="1">
      <alignment horizontal="left" vertical="center" wrapText="1"/>
    </xf>
    <xf numFmtId="0" fontId="10" fillId="0" borderId="27" xfId="1" applyFont="1" applyBorder="1" applyAlignment="1">
      <alignment horizontal="center" vertical="center"/>
    </xf>
    <xf numFmtId="0" fontId="10" fillId="0" borderId="25" xfId="1" applyFont="1" applyBorder="1" applyAlignment="1">
      <alignment horizontal="center" vertical="center"/>
    </xf>
    <xf numFmtId="0" fontId="10" fillId="0" borderId="24" xfId="1" applyFont="1" applyBorder="1" applyAlignment="1">
      <alignment horizontal="center" vertical="center"/>
    </xf>
    <xf numFmtId="0" fontId="10" fillId="0" borderId="16" xfId="1" applyFont="1" applyBorder="1" applyAlignment="1">
      <alignment horizontal="left" vertical="center" wrapText="1"/>
    </xf>
    <xf numFmtId="0" fontId="10" fillId="0" borderId="17" xfId="1" applyFont="1" applyBorder="1" applyAlignment="1">
      <alignment horizontal="left" vertical="center" wrapText="1"/>
    </xf>
    <xf numFmtId="0" fontId="10" fillId="0" borderId="18" xfId="1" applyFont="1" applyBorder="1" applyAlignment="1">
      <alignment horizontal="left" vertical="center" wrapText="1"/>
    </xf>
    <xf numFmtId="0" fontId="10" fillId="0" borderId="27" xfId="1" applyFont="1" applyBorder="1" applyAlignment="1">
      <alignment horizontal="left" vertical="center" wrapText="1"/>
    </xf>
    <xf numFmtId="0" fontId="10" fillId="0" borderId="24" xfId="1" applyFont="1" applyBorder="1" applyAlignment="1">
      <alignment horizontal="left" vertical="center" wrapText="1"/>
    </xf>
    <xf numFmtId="0" fontId="10" fillId="0" borderId="28" xfId="1" applyFont="1" applyBorder="1" applyAlignment="1">
      <alignment horizontal="left" vertical="center" wrapText="1"/>
    </xf>
    <xf numFmtId="0" fontId="12" fillId="0" borderId="9" xfId="1" applyFont="1" applyBorder="1" applyAlignment="1">
      <alignment horizontal="left" vertical="center" wrapText="1"/>
    </xf>
    <xf numFmtId="0" fontId="12" fillId="0" borderId="0" xfId="1" applyFont="1" applyAlignment="1">
      <alignment horizontal="left" vertical="center" wrapText="1"/>
    </xf>
    <xf numFmtId="0" fontId="12" fillId="0" borderId="8" xfId="1" applyFont="1" applyBorder="1" applyAlignment="1">
      <alignment horizontal="left" vertical="center" wrapText="1"/>
    </xf>
    <xf numFmtId="0" fontId="4" fillId="0" borderId="13" xfId="1" applyFont="1" applyBorder="1" applyAlignment="1">
      <alignment horizontal="center" vertical="center" wrapText="1"/>
    </xf>
    <xf numFmtId="0" fontId="2" fillId="0" borderId="14" xfId="1" applyFont="1" applyBorder="1" applyAlignment="1">
      <alignment horizontal="center" vertical="center" wrapText="1"/>
    </xf>
    <xf numFmtId="0" fontId="2" fillId="0" borderId="15" xfId="1" applyFont="1" applyBorder="1" applyAlignment="1">
      <alignment horizontal="center"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0" borderId="5" xfId="1" applyFont="1" applyBorder="1" applyAlignment="1">
      <alignment horizontal="center" vertical="center" wrapText="1"/>
    </xf>
    <xf numFmtId="0" fontId="4" fillId="0" borderId="30" xfId="1" applyFont="1" applyBorder="1" applyAlignment="1">
      <alignment horizontal="center" vertical="center" wrapText="1"/>
    </xf>
    <xf numFmtId="0" fontId="4" fillId="0" borderId="31" xfId="1" applyFont="1" applyBorder="1" applyAlignment="1">
      <alignment horizontal="center" vertical="center" wrapText="1"/>
    </xf>
    <xf numFmtId="0" fontId="4" fillId="0" borderId="32" xfId="1" applyFont="1" applyBorder="1" applyAlignment="1">
      <alignment horizontal="center"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0" xfId="1" applyFont="1" applyAlignment="1">
      <alignment horizontal="center" vertical="center" wrapText="1"/>
    </xf>
    <xf numFmtId="0" fontId="4" fillId="0" borderId="8" xfId="1" applyFont="1" applyBorder="1" applyAlignment="1">
      <alignment horizontal="center" vertical="center" wrapText="1"/>
    </xf>
    <xf numFmtId="0" fontId="4" fillId="0" borderId="9" xfId="1" applyFont="1" applyBorder="1" applyAlignment="1">
      <alignment horizontal="center" vertical="center" wrapText="1"/>
    </xf>
    <xf numFmtId="0" fontId="4" fillId="0" borderId="16" xfId="1" applyFont="1" applyBorder="1" applyAlignment="1">
      <alignment horizontal="center" vertical="center" wrapText="1"/>
    </xf>
    <xf numFmtId="0" fontId="4" fillId="0" borderId="17" xfId="1" applyFont="1" applyBorder="1" applyAlignment="1">
      <alignment horizontal="center" vertical="center" wrapText="1"/>
    </xf>
    <xf numFmtId="0" fontId="4" fillId="0" borderId="18" xfId="1" applyFont="1" applyBorder="1" applyAlignment="1">
      <alignment horizontal="center" vertical="center" wrapText="1"/>
    </xf>
    <xf numFmtId="0" fontId="4" fillId="0" borderId="10" xfId="1" applyFont="1" applyBorder="1" applyAlignment="1">
      <alignment horizontal="center" vertical="center" wrapText="1"/>
    </xf>
    <xf numFmtId="0" fontId="4" fillId="0" borderId="23" xfId="1" applyFont="1" applyBorder="1" applyAlignment="1">
      <alignment horizontal="center" vertical="center" wrapText="1"/>
    </xf>
    <xf numFmtId="0" fontId="4" fillId="0" borderId="24" xfId="1" applyFont="1" applyBorder="1" applyAlignment="1">
      <alignment horizontal="center" vertical="center" wrapText="1"/>
    </xf>
    <xf numFmtId="0" fontId="4" fillId="0" borderId="28" xfId="1" applyFont="1" applyBorder="1" applyAlignment="1">
      <alignment horizontal="center" vertical="center" wrapText="1"/>
    </xf>
    <xf numFmtId="0" fontId="4" fillId="0" borderId="27" xfId="1" applyFont="1" applyBorder="1" applyAlignment="1">
      <alignment horizontal="center" vertical="center" wrapText="1"/>
    </xf>
    <xf numFmtId="0" fontId="4" fillId="0" borderId="26" xfId="1" applyFont="1" applyBorder="1" applyAlignment="1">
      <alignment horizontal="center" vertical="center" wrapText="1"/>
    </xf>
    <xf numFmtId="0" fontId="12" fillId="0" borderId="16" xfId="1" applyFont="1" applyBorder="1" applyAlignment="1">
      <alignment horizontal="left" vertical="top" wrapText="1"/>
    </xf>
    <xf numFmtId="0" fontId="12" fillId="0" borderId="17" xfId="1" applyFont="1" applyBorder="1" applyAlignment="1">
      <alignment horizontal="left" vertical="top" wrapText="1"/>
    </xf>
    <xf numFmtId="0" fontId="12" fillId="0" borderId="18" xfId="1" applyFont="1" applyBorder="1" applyAlignment="1">
      <alignment horizontal="left" vertical="top" wrapText="1"/>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35" xfId="0" applyFont="1" applyBorder="1" applyAlignment="1">
      <alignment horizontal="center" vertical="center"/>
    </xf>
    <xf numFmtId="40" fontId="3" fillId="0" borderId="33" xfId="1" applyNumberFormat="1" applyFont="1" applyBorder="1" applyAlignment="1">
      <alignment vertical="center"/>
    </xf>
    <xf numFmtId="40" fontId="3" fillId="0" borderId="34" xfId="1" applyNumberFormat="1" applyFont="1" applyBorder="1" applyAlignment="1">
      <alignment vertical="center"/>
    </xf>
    <xf numFmtId="40" fontId="3" fillId="0" borderId="35" xfId="1" applyNumberFormat="1" applyFont="1" applyBorder="1" applyAlignment="1">
      <alignment vertical="center"/>
    </xf>
    <xf numFmtId="40" fontId="3" fillId="0" borderId="36" xfId="1" applyNumberFormat="1" applyFont="1" applyBorder="1" applyAlignment="1">
      <alignment vertical="center"/>
    </xf>
    <xf numFmtId="9" fontId="3" fillId="0" borderId="0" xfId="2" applyFont="1" applyAlignment="1">
      <alignment horizontal="center" vertical="center"/>
    </xf>
    <xf numFmtId="0" fontId="12" fillId="0" borderId="9" xfId="1" applyFont="1" applyBorder="1" applyAlignment="1">
      <alignment horizontal="left" vertical="top" wrapText="1"/>
    </xf>
    <xf numFmtId="0" fontId="12" fillId="0" borderId="0" xfId="1" applyFont="1" applyAlignment="1">
      <alignment horizontal="left" vertical="top" wrapText="1"/>
    </xf>
    <xf numFmtId="0" fontId="12" fillId="0" borderId="8" xfId="1" applyFont="1" applyBorder="1" applyAlignment="1">
      <alignment horizontal="left" vertical="top" wrapText="1"/>
    </xf>
    <xf numFmtId="0" fontId="3" fillId="0" borderId="33" xfId="1" applyFont="1" applyBorder="1" applyAlignment="1">
      <alignment horizontal="center" vertical="center"/>
    </xf>
    <xf numFmtId="0" fontId="3" fillId="0" borderId="34" xfId="1" applyFont="1" applyBorder="1" applyAlignment="1">
      <alignment horizontal="center" vertical="center"/>
    </xf>
    <xf numFmtId="0" fontId="3" fillId="0" borderId="35" xfId="1" applyFont="1" applyBorder="1" applyAlignment="1">
      <alignment horizontal="center" vertical="center"/>
    </xf>
    <xf numFmtId="0" fontId="12" fillId="0" borderId="27" xfId="1" applyFont="1" applyBorder="1" applyAlignment="1">
      <alignment horizontal="left" vertical="top" wrapText="1"/>
    </xf>
    <xf numFmtId="0" fontId="12" fillId="0" borderId="24" xfId="1" applyFont="1" applyBorder="1" applyAlignment="1">
      <alignment horizontal="left" vertical="top" wrapText="1"/>
    </xf>
    <xf numFmtId="0" fontId="12" fillId="0" borderId="28" xfId="1" applyFont="1" applyBorder="1" applyAlignment="1">
      <alignment horizontal="left" vertical="top" wrapText="1"/>
    </xf>
    <xf numFmtId="0" fontId="14" fillId="0" borderId="37" xfId="1" applyFont="1" applyBorder="1" applyAlignment="1">
      <alignment horizontal="left" vertical="center"/>
    </xf>
    <xf numFmtId="0" fontId="14" fillId="0" borderId="34" xfId="1" applyFont="1" applyBorder="1" applyAlignment="1">
      <alignment vertical="center"/>
    </xf>
    <xf numFmtId="0" fontId="14" fillId="0" borderId="35" xfId="1" applyFont="1" applyBorder="1" applyAlignment="1">
      <alignment vertical="center"/>
    </xf>
    <xf numFmtId="0" fontId="3" fillId="0" borderId="34" xfId="1" applyFont="1" applyBorder="1" applyAlignment="1">
      <alignment vertical="center"/>
    </xf>
    <xf numFmtId="0" fontId="3" fillId="0" borderId="35" xfId="1" applyFont="1" applyBorder="1" applyAlignment="1">
      <alignment vertical="center"/>
    </xf>
    <xf numFmtId="0" fontId="4" fillId="0" borderId="37" xfId="1" applyFont="1" applyBorder="1" applyAlignment="1">
      <alignment horizontal="left" vertical="center"/>
    </xf>
    <xf numFmtId="0" fontId="4" fillId="0" borderId="34" xfId="1" applyFont="1" applyBorder="1" applyAlignment="1">
      <alignment horizontal="left" vertical="center"/>
    </xf>
    <xf numFmtId="0" fontId="4" fillId="0" borderId="35" xfId="1" applyFont="1" applyBorder="1" applyAlignment="1">
      <alignment horizontal="left" vertical="center"/>
    </xf>
    <xf numFmtId="0" fontId="2" fillId="0" borderId="33" xfId="1" applyFont="1" applyBorder="1" applyAlignment="1">
      <alignment horizontal="center" vertical="center"/>
    </xf>
    <xf numFmtId="0" fontId="2" fillId="0" borderId="34" xfId="1" applyFont="1" applyBorder="1" applyAlignment="1">
      <alignment horizontal="center" vertical="center"/>
    </xf>
    <xf numFmtId="0" fontId="2" fillId="0" borderId="35" xfId="1" applyFont="1" applyBorder="1" applyAlignment="1">
      <alignment horizontal="center" vertical="center"/>
    </xf>
    <xf numFmtId="40" fontId="14" fillId="0" borderId="33" xfId="1" applyNumberFormat="1" applyFont="1" applyBorder="1" applyAlignment="1">
      <alignment vertical="center"/>
    </xf>
    <xf numFmtId="40" fontId="14" fillId="0" borderId="34" xfId="1" applyNumberFormat="1" applyFont="1" applyBorder="1" applyAlignment="1">
      <alignment vertical="center"/>
    </xf>
    <xf numFmtId="40" fontId="14" fillId="0" borderId="35" xfId="1" applyNumberFormat="1" applyFont="1" applyBorder="1" applyAlignment="1">
      <alignment vertical="center"/>
    </xf>
    <xf numFmtId="40" fontId="14" fillId="0" borderId="36" xfId="1" applyNumberFormat="1" applyFont="1" applyBorder="1" applyAlignment="1">
      <alignment vertical="center"/>
    </xf>
    <xf numFmtId="40" fontId="3" fillId="0" borderId="0" xfId="1" applyNumberFormat="1" applyFont="1" applyAlignment="1">
      <alignment horizontal="center" vertical="center"/>
    </xf>
    <xf numFmtId="0" fontId="4" fillId="0" borderId="38" xfId="1" applyFont="1" applyBorder="1" applyAlignment="1">
      <alignment horizontal="center" vertical="center" wrapText="1"/>
    </xf>
    <xf numFmtId="0" fontId="2" fillId="0" borderId="39" xfId="1" applyFont="1" applyBorder="1" applyAlignment="1">
      <alignment vertical="center"/>
    </xf>
    <xf numFmtId="0" fontId="2" fillId="0" borderId="27" xfId="1" applyFont="1" applyBorder="1" applyAlignment="1">
      <alignment vertical="center"/>
    </xf>
    <xf numFmtId="0" fontId="2" fillId="0" borderId="28" xfId="1" applyFont="1" applyBorder="1" applyAlignment="1">
      <alignment vertical="center"/>
    </xf>
    <xf numFmtId="0" fontId="2" fillId="0" borderId="37" xfId="1" applyFont="1" applyBorder="1" applyAlignment="1">
      <alignment horizontal="center" vertical="top"/>
    </xf>
    <xf numFmtId="0" fontId="2" fillId="0" borderId="34" xfId="1" applyFont="1" applyBorder="1" applyAlignment="1">
      <alignment horizontal="center" vertical="top"/>
    </xf>
    <xf numFmtId="0" fontId="2" fillId="0" borderId="35" xfId="1" applyFont="1" applyBorder="1" applyAlignment="1">
      <alignment horizontal="center" vertical="top"/>
    </xf>
    <xf numFmtId="0" fontId="2" fillId="0" borderId="36" xfId="1" applyFont="1" applyBorder="1" applyAlignment="1">
      <alignment horizontal="center" vertical="center"/>
    </xf>
    <xf numFmtId="0" fontId="2" fillId="0" borderId="37" xfId="1" applyFont="1" applyBorder="1" applyAlignment="1">
      <alignment horizontal="left" vertical="center" wrapText="1"/>
    </xf>
    <xf numFmtId="0" fontId="2" fillId="0" borderId="34" xfId="1" applyFont="1" applyBorder="1" applyAlignment="1">
      <alignment horizontal="left" vertical="center" wrapText="1"/>
    </xf>
    <xf numFmtId="0" fontId="2" fillId="0" borderId="36" xfId="1" applyFont="1" applyBorder="1" applyAlignment="1">
      <alignment horizontal="left" vertical="center" wrapText="1"/>
    </xf>
    <xf numFmtId="0" fontId="4" fillId="0" borderId="38" xfId="1" applyFont="1" applyBorder="1" applyAlignment="1">
      <alignment horizontal="center" wrapText="1"/>
    </xf>
    <xf numFmtId="0" fontId="2" fillId="0" borderId="17" xfId="1" applyFont="1" applyBorder="1" applyAlignment="1">
      <alignment horizontal="center"/>
    </xf>
    <xf numFmtId="0" fontId="2" fillId="0" borderId="39" xfId="1" applyFont="1" applyBorder="1" applyAlignment="1">
      <alignment horizontal="center"/>
    </xf>
    <xf numFmtId="0" fontId="2" fillId="0" borderId="7" xfId="1" applyFont="1" applyBorder="1" applyAlignment="1">
      <alignment horizontal="center"/>
    </xf>
    <xf numFmtId="0" fontId="2" fillId="0" borderId="0" xfId="1" applyFont="1" applyAlignment="1">
      <alignment horizontal="center"/>
    </xf>
    <xf numFmtId="0" fontId="2" fillId="0" borderId="10" xfId="1" applyFont="1" applyBorder="1" applyAlignment="1">
      <alignment horizontal="center"/>
    </xf>
    <xf numFmtId="0" fontId="2" fillId="0" borderId="23" xfId="1" applyFont="1" applyBorder="1" applyAlignment="1">
      <alignment horizontal="center"/>
    </xf>
    <xf numFmtId="0" fontId="2" fillId="0" borderId="24" xfId="1" applyFont="1" applyBorder="1" applyAlignment="1">
      <alignment horizontal="center"/>
    </xf>
    <xf numFmtId="0" fontId="2" fillId="0" borderId="26" xfId="1" applyFont="1" applyBorder="1" applyAlignment="1">
      <alignment horizontal="center"/>
    </xf>
    <xf numFmtId="0" fontId="2" fillId="0" borderId="38" xfId="1" applyFont="1" applyBorder="1" applyAlignment="1">
      <alignment horizontal="center" vertical="top"/>
    </xf>
    <xf numFmtId="0" fontId="2" fillId="0" borderId="17" xfId="1" applyFont="1" applyBorder="1" applyAlignment="1">
      <alignment horizontal="center" vertical="top"/>
    </xf>
    <xf numFmtId="0" fontId="2" fillId="0" borderId="39" xfId="1" applyFont="1" applyBorder="1" applyAlignment="1">
      <alignment horizontal="center" vertical="top"/>
    </xf>
    <xf numFmtId="0" fontId="9" fillId="0" borderId="23" xfId="1" applyFont="1" applyBorder="1" applyAlignment="1">
      <alignment horizontal="center" vertical="top"/>
    </xf>
    <xf numFmtId="0" fontId="9" fillId="0" borderId="24" xfId="1" applyFont="1" applyBorder="1" applyAlignment="1">
      <alignment horizontal="center" vertical="top"/>
    </xf>
    <xf numFmtId="0" fontId="9" fillId="0" borderId="26" xfId="1" applyFont="1" applyBorder="1" applyAlignment="1">
      <alignment horizontal="center" vertical="top"/>
    </xf>
    <xf numFmtId="0" fontId="15" fillId="0" borderId="38" xfId="1" applyFont="1" applyBorder="1" applyAlignment="1">
      <alignment horizontal="center" vertical="top"/>
    </xf>
    <xf numFmtId="0" fontId="15" fillId="0" borderId="17" xfId="1" applyFont="1" applyBorder="1" applyAlignment="1">
      <alignment horizontal="center" vertical="top"/>
    </xf>
    <xf numFmtId="0" fontId="2" fillId="0" borderId="17" xfId="1" applyFont="1" applyBorder="1" applyAlignment="1">
      <alignment vertical="center" wrapText="1"/>
    </xf>
    <xf numFmtId="0" fontId="2" fillId="0" borderId="17" xfId="1" applyFont="1" applyBorder="1" applyAlignment="1">
      <alignment horizontal="left" vertical="center" wrapText="1"/>
    </xf>
    <xf numFmtId="0" fontId="2" fillId="0" borderId="17" xfId="1" applyFont="1" applyBorder="1" applyAlignment="1">
      <alignment horizontal="center" vertical="center"/>
    </xf>
    <xf numFmtId="0" fontId="15" fillId="0" borderId="7" xfId="1" applyFont="1" applyBorder="1" applyAlignment="1">
      <alignment horizontal="center" vertical="top"/>
    </xf>
    <xf numFmtId="0" fontId="15" fillId="0" borderId="0" xfId="1" applyFont="1" applyAlignment="1">
      <alignment horizontal="center" vertical="top"/>
    </xf>
    <xf numFmtId="0" fontId="2" fillId="0" borderId="0" xfId="1" applyFont="1" applyAlignment="1">
      <alignment horizontal="left" vertical="center" wrapText="1"/>
    </xf>
    <xf numFmtId="0" fontId="16" fillId="0" borderId="0" xfId="1" applyFont="1" applyAlignment="1">
      <alignment horizontal="center" vertical="center"/>
    </xf>
    <xf numFmtId="0" fontId="2" fillId="0" borderId="7" xfId="1" applyFont="1" applyBorder="1" applyAlignment="1">
      <alignment horizontal="center" vertical="top"/>
    </xf>
    <xf numFmtId="0" fontId="2" fillId="0" borderId="0" xfId="1" applyFont="1" applyAlignment="1">
      <alignment horizontal="center" vertical="top"/>
    </xf>
    <xf numFmtId="0" fontId="2" fillId="0" borderId="10" xfId="1" applyFont="1" applyBorder="1" applyAlignment="1">
      <alignment horizontal="center" vertical="top"/>
    </xf>
    <xf numFmtId="0" fontId="2" fillId="0" borderId="23" xfId="1" applyFont="1" applyBorder="1" applyAlignment="1">
      <alignment horizontal="center" vertical="top"/>
    </xf>
    <xf numFmtId="0" fontId="2" fillId="0" borderId="24" xfId="1" applyFont="1" applyBorder="1" applyAlignment="1">
      <alignment horizontal="center" vertical="top"/>
    </xf>
    <xf numFmtId="0" fontId="2" fillId="0" borderId="26" xfId="1" applyFont="1" applyBorder="1" applyAlignment="1">
      <alignment horizontal="center" vertical="top"/>
    </xf>
    <xf numFmtId="0" fontId="15" fillId="0" borderId="19" xfId="1" applyFont="1" applyBorder="1" applyAlignment="1">
      <alignment horizontal="center" vertical="top"/>
    </xf>
    <xf numFmtId="0" fontId="15" fillId="0" borderId="1" xfId="1" applyFont="1" applyBorder="1" applyAlignment="1">
      <alignment horizontal="center" vertical="top"/>
    </xf>
    <xf numFmtId="0" fontId="2" fillId="0" borderId="1" xfId="1" applyFont="1" applyBorder="1" applyAlignment="1">
      <alignment horizontal="left" vertical="center" wrapText="1"/>
    </xf>
    <xf numFmtId="0" fontId="16" fillId="0" borderId="1" xfId="1" applyFont="1" applyBorder="1" applyAlignment="1">
      <alignment horizontal="center" vertical="center"/>
    </xf>
    <xf numFmtId="0" fontId="2" fillId="0" borderId="21" xfId="1" applyFont="1" applyBorder="1" applyAlignment="1">
      <alignment vertical="center"/>
    </xf>
    <xf numFmtId="0" fontId="1" fillId="0" borderId="0" xfId="1"/>
  </cellXfs>
  <cellStyles count="3">
    <cellStyle name="Normal" xfId="0" builtinId="0"/>
    <cellStyle name="Normal 3" xfId="1" xr:uid="{B299AA13-549A-464D-B0F6-B8BD0D3B4CB3}"/>
    <cellStyle name="Percent 3" xfId="2" xr:uid="{0D1BED1A-32ED-4F4C-824C-282406CBF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2</xdr:row>
      <xdr:rowOff>35801</xdr:rowOff>
    </xdr:from>
    <xdr:ext cx="454269" cy="234462"/>
    <xdr:sp macro="" textlink="">
      <xdr:nvSpPr>
        <xdr:cNvPr id="2" name="Rectangle 229">
          <a:extLst>
            <a:ext uri="{FF2B5EF4-FFF2-40B4-BE49-F238E27FC236}">
              <a16:creationId xmlns:a16="http://schemas.microsoft.com/office/drawing/2014/main" id="{85D403AA-6F1A-4933-9E56-D5A769B68E32}"/>
            </a:ext>
          </a:extLst>
        </xdr:cNvPr>
        <xdr:cNvSpPr>
          <a:spLocks noChangeArrowheads="1"/>
        </xdr:cNvSpPr>
      </xdr:nvSpPr>
      <xdr:spPr bwMode="auto">
        <a:xfrm>
          <a:off x="19050" y="249161"/>
          <a:ext cx="454269" cy="234462"/>
        </a:xfrm>
        <a:prstGeom prst="rect">
          <a:avLst/>
        </a:prstGeom>
        <a:solidFill>
          <a:schemeClr val="bg1">
            <a:lumMod val="85000"/>
          </a:schemeClr>
        </a:solid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For BIR  </a:t>
          </a:r>
        </a:p>
        <a:p>
          <a:pPr algn="l" rtl="0">
            <a:defRPr sz="1000"/>
          </a:pPr>
          <a:r>
            <a:rPr lang="en-US" sz="800" b="0" i="0" u="none" strike="noStrike" baseline="0">
              <a:solidFill>
                <a:srgbClr val="000000"/>
              </a:solidFill>
              <a:latin typeface="Arial"/>
              <a:cs typeface="Arial"/>
            </a:rPr>
            <a:t> Use Only </a:t>
          </a:r>
        </a:p>
      </xdr:txBody>
    </xdr:sp>
    <xdr:clientData/>
  </xdr:oneCellAnchor>
  <xdr:oneCellAnchor>
    <xdr:from>
      <xdr:col>2</xdr:col>
      <xdr:colOff>111371</xdr:colOff>
      <xdr:row>2</xdr:row>
      <xdr:rowOff>35801</xdr:rowOff>
    </xdr:from>
    <xdr:ext cx="300404" cy="234462"/>
    <xdr:sp macro="" textlink="">
      <xdr:nvSpPr>
        <xdr:cNvPr id="3" name="Rectangle 229">
          <a:extLst>
            <a:ext uri="{FF2B5EF4-FFF2-40B4-BE49-F238E27FC236}">
              <a16:creationId xmlns:a16="http://schemas.microsoft.com/office/drawing/2014/main" id="{C7E289C7-0CDA-40AB-8BB0-70FC411E8F45}"/>
            </a:ext>
          </a:extLst>
        </xdr:cNvPr>
        <xdr:cNvSpPr>
          <a:spLocks noChangeArrowheads="1"/>
        </xdr:cNvSpPr>
      </xdr:nvSpPr>
      <xdr:spPr bwMode="auto">
        <a:xfrm>
          <a:off x="477131" y="249161"/>
          <a:ext cx="300404" cy="234462"/>
        </a:xfrm>
        <a:prstGeom prst="rect">
          <a:avLst/>
        </a:prstGeom>
        <a:no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BCS/</a:t>
          </a:r>
        </a:p>
        <a:p>
          <a:pPr algn="l" rtl="0">
            <a:defRPr sz="1000"/>
          </a:pPr>
          <a:r>
            <a:rPr lang="en-US" sz="800" b="0" i="0" u="none" strike="noStrike" baseline="0">
              <a:solidFill>
                <a:srgbClr val="000000"/>
              </a:solidFill>
              <a:latin typeface="Arial"/>
              <a:cs typeface="Arial"/>
            </a:rPr>
            <a:t> Item: </a:t>
          </a:r>
        </a:p>
      </xdr:txBody>
    </xdr:sp>
    <xdr:clientData/>
  </xdr:oneCellAnchor>
  <xdr:twoCellAnchor editAs="oneCell">
    <xdr:from>
      <xdr:col>13</xdr:col>
      <xdr:colOff>68396</xdr:colOff>
      <xdr:row>0</xdr:row>
      <xdr:rowOff>26724</xdr:rowOff>
    </xdr:from>
    <xdr:to>
      <xdr:col>16</xdr:col>
      <xdr:colOff>39821</xdr:colOff>
      <xdr:row>2</xdr:row>
      <xdr:rowOff>99060</xdr:rowOff>
    </xdr:to>
    <xdr:pic>
      <xdr:nvPicPr>
        <xdr:cNvPr id="4" name="Picture 232">
          <a:extLst>
            <a:ext uri="{FF2B5EF4-FFF2-40B4-BE49-F238E27FC236}">
              <a16:creationId xmlns:a16="http://schemas.microsoft.com/office/drawing/2014/main" id="{D0033DD6-898E-44D2-A7E7-31A73C1E01C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45836" y="26724"/>
          <a:ext cx="520065" cy="4380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77276</xdr:colOff>
      <xdr:row>4</xdr:row>
      <xdr:rowOff>12370</xdr:rowOff>
    </xdr:from>
    <xdr:to>
      <xdr:col>6</xdr:col>
      <xdr:colOff>180710</xdr:colOff>
      <xdr:row>8</xdr:row>
      <xdr:rowOff>109021</xdr:rowOff>
    </xdr:to>
    <xdr:grpSp>
      <xdr:nvGrpSpPr>
        <xdr:cNvPr id="5" name="Group 4">
          <a:extLst>
            <a:ext uri="{FF2B5EF4-FFF2-40B4-BE49-F238E27FC236}">
              <a16:creationId xmlns:a16="http://schemas.microsoft.com/office/drawing/2014/main" id="{B8FCAC51-884D-494E-BDFB-2E3A567F440C}"/>
            </a:ext>
          </a:extLst>
        </xdr:cNvPr>
        <xdr:cNvGrpSpPr/>
      </xdr:nvGrpSpPr>
      <xdr:grpSpPr>
        <a:xfrm>
          <a:off x="77276" y="532760"/>
          <a:ext cx="1218556" cy="579871"/>
          <a:chOff x="7327" y="521368"/>
          <a:chExt cx="1179635" cy="669862"/>
        </a:xfrm>
      </xdr:grpSpPr>
      <xdr:sp macro="" textlink="">
        <xdr:nvSpPr>
          <xdr:cNvPr id="6" name="Rectangle 234">
            <a:extLst>
              <a:ext uri="{FF2B5EF4-FFF2-40B4-BE49-F238E27FC236}">
                <a16:creationId xmlns:a16="http://schemas.microsoft.com/office/drawing/2014/main" id="{3DB27A8F-651C-4521-5B35-520FB5BB2046}"/>
              </a:ext>
            </a:extLst>
          </xdr:cNvPr>
          <xdr:cNvSpPr>
            <a:spLocks noChangeArrowheads="1"/>
          </xdr:cNvSpPr>
        </xdr:nvSpPr>
        <xdr:spPr bwMode="auto">
          <a:xfrm>
            <a:off x="86612" y="635773"/>
            <a:ext cx="815465" cy="4309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US" sz="2600" b="1" i="0" u="none" strike="noStrike" baseline="0">
                <a:solidFill>
                  <a:srgbClr val="000000"/>
                </a:solidFill>
                <a:latin typeface="Arial"/>
                <a:cs typeface="Arial"/>
              </a:rPr>
              <a:t> 2307</a:t>
            </a:r>
          </a:p>
        </xdr:txBody>
      </xdr:sp>
      <xdr:sp macro="" textlink="">
        <xdr:nvSpPr>
          <xdr:cNvPr id="7" name="Text Box 241">
            <a:extLst>
              <a:ext uri="{FF2B5EF4-FFF2-40B4-BE49-F238E27FC236}">
                <a16:creationId xmlns:a16="http://schemas.microsoft.com/office/drawing/2014/main" id="{FCF25003-4F06-4EF2-7F69-151D8B667900}"/>
              </a:ext>
            </a:extLst>
          </xdr:cNvPr>
          <xdr:cNvSpPr txBox="1">
            <a:spLocks noChangeArrowheads="1"/>
          </xdr:cNvSpPr>
        </xdr:nvSpPr>
        <xdr:spPr bwMode="auto">
          <a:xfrm>
            <a:off x="7327" y="1003826"/>
            <a:ext cx="1179635" cy="1874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January 2018 (ENCS)</a:t>
            </a:r>
          </a:p>
        </xdr:txBody>
      </xdr:sp>
      <xdr:sp macro="" textlink="">
        <xdr:nvSpPr>
          <xdr:cNvPr id="8" name="Text Box 242">
            <a:extLst>
              <a:ext uri="{FF2B5EF4-FFF2-40B4-BE49-F238E27FC236}">
                <a16:creationId xmlns:a16="http://schemas.microsoft.com/office/drawing/2014/main" id="{5DA7F70C-E1A6-A78F-3245-5FF41970DEDD}"/>
              </a:ext>
            </a:extLst>
          </xdr:cNvPr>
          <xdr:cNvSpPr txBox="1">
            <a:spLocks noChangeArrowheads="1"/>
          </xdr:cNvSpPr>
        </xdr:nvSpPr>
        <xdr:spPr bwMode="auto">
          <a:xfrm>
            <a:off x="165593" y="521368"/>
            <a:ext cx="823543" cy="1480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BIR Form No.</a:t>
            </a:r>
          </a:p>
        </xdr:txBody>
      </xdr:sp>
    </xdr:grpSp>
    <xdr:clientData/>
  </xdr:twoCellAnchor>
  <xdr:twoCellAnchor>
    <xdr:from>
      <xdr:col>34</xdr:col>
      <xdr:colOff>160811</xdr:colOff>
      <xdr:row>7</xdr:row>
      <xdr:rowOff>74222</xdr:rowOff>
    </xdr:from>
    <xdr:to>
      <xdr:col>41</xdr:col>
      <xdr:colOff>145695</xdr:colOff>
      <xdr:row>9</xdr:row>
      <xdr:rowOff>35300</xdr:rowOff>
    </xdr:to>
    <xdr:sp macro="" textlink="">
      <xdr:nvSpPr>
        <xdr:cNvPr id="9" name="Text Box 2">
          <a:extLst>
            <a:ext uri="{FF2B5EF4-FFF2-40B4-BE49-F238E27FC236}">
              <a16:creationId xmlns:a16="http://schemas.microsoft.com/office/drawing/2014/main" id="{B41EBF2B-BCD3-4DFA-AB61-B2C77EBE91C1}"/>
            </a:ext>
          </a:extLst>
        </xdr:cNvPr>
        <xdr:cNvSpPr txBox="1">
          <a:spLocks noChangeArrowheads="1"/>
        </xdr:cNvSpPr>
      </xdr:nvSpPr>
      <xdr:spPr bwMode="auto">
        <a:xfrm>
          <a:off x="6409211" y="958142"/>
          <a:ext cx="1143124" cy="204918"/>
        </a:xfrm>
        <a:prstGeom prst="rect">
          <a:avLst/>
        </a:prstGeom>
        <a:noFill/>
        <a:ln w="9525">
          <a:noFill/>
          <a:miter lim="800000"/>
          <a:headEnd/>
          <a:tailEnd/>
        </a:ln>
      </xdr:spPr>
      <xdr:txBody>
        <a:bodyPr rot="0" vert="horz" wrap="square" lIns="91440" tIns="45720" rIns="91440" bIns="45720" anchor="t" anchorCtr="0">
          <a:spAutoFit/>
        </a:bodyPr>
        <a:lstStyle/>
        <a:p>
          <a:pPr marL="0" marR="0">
            <a:spcBef>
              <a:spcPts val="0"/>
            </a:spcBef>
            <a:spcAft>
              <a:spcPts val="0"/>
            </a:spcAft>
          </a:pPr>
          <a:r>
            <a:rPr lang="en-US" sz="800">
              <a:effectLst/>
              <a:latin typeface="Arial" panose="020B0604020202020204" pitchFamily="34" charset="0"/>
              <a:ea typeface="Times New Roman" panose="02020603050405020304" pitchFamily="18" charset="0"/>
            </a:rPr>
            <a:t>2307 01/18ENCS</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7226</xdr:colOff>
      <xdr:row>27</xdr:row>
      <xdr:rowOff>9525</xdr:rowOff>
    </xdr:from>
    <xdr:to>
      <xdr:col>40</xdr:col>
      <xdr:colOff>19050</xdr:colOff>
      <xdr:row>28</xdr:row>
      <xdr:rowOff>104775</xdr:rowOff>
    </xdr:to>
    <xdr:sp macro="" textlink="">
      <xdr:nvSpPr>
        <xdr:cNvPr id="10" name="Text Box 2">
          <a:extLst>
            <a:ext uri="{FF2B5EF4-FFF2-40B4-BE49-F238E27FC236}">
              <a16:creationId xmlns:a16="http://schemas.microsoft.com/office/drawing/2014/main" id="{F4B7A3A4-C2BC-454A-A0B2-BC0599DADC83}"/>
            </a:ext>
          </a:extLst>
        </xdr:cNvPr>
        <xdr:cNvSpPr txBox="1">
          <a:spLocks noChangeArrowheads="1"/>
        </xdr:cNvSpPr>
      </xdr:nvSpPr>
      <xdr:spPr bwMode="auto">
        <a:xfrm>
          <a:off x="190106" y="2943225"/>
          <a:ext cx="7174624" cy="22479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32</xdr:col>
      <xdr:colOff>77702</xdr:colOff>
      <xdr:row>71</xdr:row>
      <xdr:rowOff>34648</xdr:rowOff>
    </xdr:from>
    <xdr:to>
      <xdr:col>41</xdr:col>
      <xdr:colOff>940</xdr:colOff>
      <xdr:row>72</xdr:row>
      <xdr:rowOff>116103</xdr:rowOff>
    </xdr:to>
    <xdr:grpSp>
      <xdr:nvGrpSpPr>
        <xdr:cNvPr id="11" name="Group 10">
          <a:extLst>
            <a:ext uri="{FF2B5EF4-FFF2-40B4-BE49-F238E27FC236}">
              <a16:creationId xmlns:a16="http://schemas.microsoft.com/office/drawing/2014/main" id="{2384071D-0B71-4E6E-AB10-B4B2D726FBC1}"/>
            </a:ext>
          </a:extLst>
        </xdr:cNvPr>
        <xdr:cNvGrpSpPr/>
      </xdr:nvGrpSpPr>
      <xdr:grpSpPr>
        <a:xfrm>
          <a:off x="6052897" y="9745502"/>
          <a:ext cx="1475116" cy="220845"/>
          <a:chOff x="198045" y="3663821"/>
          <a:chExt cx="1310870" cy="227822"/>
        </a:xfrm>
      </xdr:grpSpPr>
      <xdr:grpSp>
        <xdr:nvGrpSpPr>
          <xdr:cNvPr id="12" name="Group 11">
            <a:extLst>
              <a:ext uri="{FF2B5EF4-FFF2-40B4-BE49-F238E27FC236}">
                <a16:creationId xmlns:a16="http://schemas.microsoft.com/office/drawing/2014/main" id="{2B2CEDFB-14EE-2711-DF53-8C7DBB0474A7}"/>
              </a:ext>
            </a:extLst>
          </xdr:cNvPr>
          <xdr:cNvGrpSpPr/>
        </xdr:nvGrpSpPr>
        <xdr:grpSpPr>
          <a:xfrm>
            <a:off x="198045" y="3663821"/>
            <a:ext cx="655434" cy="227822"/>
            <a:chOff x="1509155" y="1738004"/>
            <a:chExt cx="909204" cy="228600"/>
          </a:xfrm>
          <a:solidFill>
            <a:sysClr val="window" lastClr="FFFFFF"/>
          </a:solidFill>
        </xdr:grpSpPr>
        <xdr:sp macro="" textlink="">
          <xdr:nvSpPr>
            <xdr:cNvPr id="18" name="Text Box 2">
              <a:extLst>
                <a:ext uri="{FF2B5EF4-FFF2-40B4-BE49-F238E27FC236}">
                  <a16:creationId xmlns:a16="http://schemas.microsoft.com/office/drawing/2014/main" id="{3A49087A-9528-CDDF-3897-22A0C3A69F7E}"/>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19" name="Straight Connector 18">
              <a:extLst>
                <a:ext uri="{FF2B5EF4-FFF2-40B4-BE49-F238E27FC236}">
                  <a16:creationId xmlns:a16="http://schemas.microsoft.com/office/drawing/2014/main" id="{D54F4FC8-38CE-2C58-5F80-BE90074C992B}"/>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0" name="Straight Connector 19">
              <a:extLst>
                <a:ext uri="{FF2B5EF4-FFF2-40B4-BE49-F238E27FC236}">
                  <a16:creationId xmlns:a16="http://schemas.microsoft.com/office/drawing/2014/main" id="{1AAB208D-BFB5-FCFA-FA0C-7EEC1E33E2C5}"/>
                </a:ext>
              </a:extLst>
            </xdr:cNvPr>
            <xdr:cNvCxnSpPr>
              <a:stCxn id="18"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Straight Connector 20">
              <a:extLst>
                <a:ext uri="{FF2B5EF4-FFF2-40B4-BE49-F238E27FC236}">
                  <a16:creationId xmlns:a16="http://schemas.microsoft.com/office/drawing/2014/main" id="{319AD90F-E355-5880-BA9E-BB122674F20A}"/>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13" name="Group 12">
            <a:extLst>
              <a:ext uri="{FF2B5EF4-FFF2-40B4-BE49-F238E27FC236}">
                <a16:creationId xmlns:a16="http://schemas.microsoft.com/office/drawing/2014/main" id="{059256F6-F832-A894-D00F-949ED7EAD1A3}"/>
              </a:ext>
            </a:extLst>
          </xdr:cNvPr>
          <xdr:cNvGrpSpPr/>
        </xdr:nvGrpSpPr>
        <xdr:grpSpPr>
          <a:xfrm>
            <a:off x="853481" y="3663821"/>
            <a:ext cx="655434" cy="227822"/>
            <a:chOff x="1509155" y="1738004"/>
            <a:chExt cx="909204" cy="228600"/>
          </a:xfrm>
          <a:solidFill>
            <a:sysClr val="window" lastClr="FFFFFF"/>
          </a:solidFill>
        </xdr:grpSpPr>
        <xdr:sp macro="" textlink="">
          <xdr:nvSpPr>
            <xdr:cNvPr id="14" name="Text Box 2">
              <a:extLst>
                <a:ext uri="{FF2B5EF4-FFF2-40B4-BE49-F238E27FC236}">
                  <a16:creationId xmlns:a16="http://schemas.microsoft.com/office/drawing/2014/main" id="{46E2FDFE-1C94-1E16-C5EC-6F8758EADCA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15" name="Straight Connector 14">
              <a:extLst>
                <a:ext uri="{FF2B5EF4-FFF2-40B4-BE49-F238E27FC236}">
                  <a16:creationId xmlns:a16="http://schemas.microsoft.com/office/drawing/2014/main" id="{2511C07A-FD15-99E0-EDDD-19A647670C74}"/>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CC8D19E8-A00E-E7CF-97E9-7C0D46BDC887}"/>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E3C87051-DFB8-9769-40F8-2DFEB5F28242}"/>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109607</xdr:colOff>
      <xdr:row>71</xdr:row>
      <xdr:rowOff>34645</xdr:rowOff>
    </xdr:from>
    <xdr:to>
      <xdr:col>27</xdr:col>
      <xdr:colOff>161878</xdr:colOff>
      <xdr:row>72</xdr:row>
      <xdr:rowOff>116101</xdr:rowOff>
    </xdr:to>
    <xdr:grpSp>
      <xdr:nvGrpSpPr>
        <xdr:cNvPr id="22" name="Group 21">
          <a:extLst>
            <a:ext uri="{FF2B5EF4-FFF2-40B4-BE49-F238E27FC236}">
              <a16:creationId xmlns:a16="http://schemas.microsoft.com/office/drawing/2014/main" id="{69000AFA-81D4-498A-96AE-98B1DACEAFAD}"/>
            </a:ext>
          </a:extLst>
        </xdr:cNvPr>
        <xdr:cNvGrpSpPr/>
      </xdr:nvGrpSpPr>
      <xdr:grpSpPr>
        <a:xfrm>
          <a:off x="3854558" y="9745499"/>
          <a:ext cx="1353247" cy="220846"/>
          <a:chOff x="198045" y="3663821"/>
          <a:chExt cx="1310870" cy="227822"/>
        </a:xfrm>
      </xdr:grpSpPr>
      <xdr:grpSp>
        <xdr:nvGrpSpPr>
          <xdr:cNvPr id="23" name="Group 22">
            <a:extLst>
              <a:ext uri="{FF2B5EF4-FFF2-40B4-BE49-F238E27FC236}">
                <a16:creationId xmlns:a16="http://schemas.microsoft.com/office/drawing/2014/main" id="{258D0C51-D67A-71C3-2144-070BCA61D628}"/>
              </a:ext>
            </a:extLst>
          </xdr:cNvPr>
          <xdr:cNvGrpSpPr/>
        </xdr:nvGrpSpPr>
        <xdr:grpSpPr>
          <a:xfrm>
            <a:off x="198045" y="3663821"/>
            <a:ext cx="655434" cy="227822"/>
            <a:chOff x="1509155" y="1738004"/>
            <a:chExt cx="909204" cy="228600"/>
          </a:xfrm>
          <a:solidFill>
            <a:sysClr val="window" lastClr="FFFFFF"/>
          </a:solidFill>
        </xdr:grpSpPr>
        <xdr:sp macro="" textlink="">
          <xdr:nvSpPr>
            <xdr:cNvPr id="29" name="Text Box 2">
              <a:extLst>
                <a:ext uri="{FF2B5EF4-FFF2-40B4-BE49-F238E27FC236}">
                  <a16:creationId xmlns:a16="http://schemas.microsoft.com/office/drawing/2014/main" id="{4BFA3213-58D7-2B0A-B006-A1A3D5A6F8B6}"/>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30" name="Straight Connector 29">
              <a:extLst>
                <a:ext uri="{FF2B5EF4-FFF2-40B4-BE49-F238E27FC236}">
                  <a16:creationId xmlns:a16="http://schemas.microsoft.com/office/drawing/2014/main" id="{4260B3FC-5A7B-7224-5A71-1341B45D1EF3}"/>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27F328E1-450D-358C-F815-2CCF3F8422B4}"/>
                </a:ext>
              </a:extLst>
            </xdr:cNvPr>
            <xdr:cNvCxnSpPr>
              <a:stCxn id="29"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EAD89E74-E071-0DA2-71C0-0AAC6103E25B}"/>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24" name="Group 23">
            <a:extLst>
              <a:ext uri="{FF2B5EF4-FFF2-40B4-BE49-F238E27FC236}">
                <a16:creationId xmlns:a16="http://schemas.microsoft.com/office/drawing/2014/main" id="{C29D2879-3583-4E2E-517A-22CAC9DD3159}"/>
              </a:ext>
            </a:extLst>
          </xdr:cNvPr>
          <xdr:cNvGrpSpPr/>
        </xdr:nvGrpSpPr>
        <xdr:grpSpPr>
          <a:xfrm>
            <a:off x="853481" y="3663821"/>
            <a:ext cx="655434" cy="227822"/>
            <a:chOff x="1509155" y="1738004"/>
            <a:chExt cx="909204" cy="228600"/>
          </a:xfrm>
          <a:solidFill>
            <a:sysClr val="window" lastClr="FFFFFF"/>
          </a:solidFill>
        </xdr:grpSpPr>
        <xdr:sp macro="" textlink="">
          <xdr:nvSpPr>
            <xdr:cNvPr id="25" name="Text Box 2">
              <a:extLst>
                <a:ext uri="{FF2B5EF4-FFF2-40B4-BE49-F238E27FC236}">
                  <a16:creationId xmlns:a16="http://schemas.microsoft.com/office/drawing/2014/main" id="{7D15266B-297D-7843-BB8A-86B754FA5621}"/>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26" name="Straight Connector 25">
              <a:extLst>
                <a:ext uri="{FF2B5EF4-FFF2-40B4-BE49-F238E27FC236}">
                  <a16:creationId xmlns:a16="http://schemas.microsoft.com/office/drawing/2014/main" id="{F7763631-5202-C66F-D4F2-CA4F629EF59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C6883621-B086-692B-B848-4B5BA9375F72}"/>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184DBF52-EC88-B48A-00AE-29FB1AEC48B6}"/>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25260</xdr:colOff>
      <xdr:row>71</xdr:row>
      <xdr:rowOff>34646</xdr:rowOff>
    </xdr:from>
    <xdr:to>
      <xdr:col>16</xdr:col>
      <xdr:colOff>118458</xdr:colOff>
      <xdr:row>72</xdr:row>
      <xdr:rowOff>118347</xdr:rowOff>
    </xdr:to>
    <xdr:sp macro="" textlink="">
      <xdr:nvSpPr>
        <xdr:cNvPr id="33" name="Text Box 2">
          <a:extLst>
            <a:ext uri="{FF2B5EF4-FFF2-40B4-BE49-F238E27FC236}">
              <a16:creationId xmlns:a16="http://schemas.microsoft.com/office/drawing/2014/main" id="{75A9BDCF-E43C-4E81-BDB4-C652351D6C25}"/>
            </a:ext>
          </a:extLst>
        </xdr:cNvPr>
        <xdr:cNvSpPr txBox="1">
          <a:spLocks noChangeArrowheads="1"/>
        </xdr:cNvSpPr>
      </xdr:nvSpPr>
      <xdr:spPr bwMode="auto">
        <a:xfrm>
          <a:off x="1488300" y="9651086"/>
          <a:ext cx="1556238" cy="220861"/>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32</xdr:col>
      <xdr:colOff>78828</xdr:colOff>
      <xdr:row>79</xdr:row>
      <xdr:rowOff>34646</xdr:rowOff>
    </xdr:from>
    <xdr:to>
      <xdr:col>41</xdr:col>
      <xdr:colOff>2066</xdr:colOff>
      <xdr:row>80</xdr:row>
      <xdr:rowOff>116103</xdr:rowOff>
    </xdr:to>
    <xdr:grpSp>
      <xdr:nvGrpSpPr>
        <xdr:cNvPr id="34" name="Group 33">
          <a:extLst>
            <a:ext uri="{FF2B5EF4-FFF2-40B4-BE49-F238E27FC236}">
              <a16:creationId xmlns:a16="http://schemas.microsoft.com/office/drawing/2014/main" id="{1455CD66-49A8-476C-ADED-C839759AD984}"/>
            </a:ext>
          </a:extLst>
        </xdr:cNvPr>
        <xdr:cNvGrpSpPr/>
      </xdr:nvGrpSpPr>
      <xdr:grpSpPr>
        <a:xfrm>
          <a:off x="6054023" y="10804866"/>
          <a:ext cx="1475116" cy="220847"/>
          <a:chOff x="198045" y="3663821"/>
          <a:chExt cx="1310870" cy="227822"/>
        </a:xfrm>
      </xdr:grpSpPr>
      <xdr:grpSp>
        <xdr:nvGrpSpPr>
          <xdr:cNvPr id="35" name="Group 34">
            <a:extLst>
              <a:ext uri="{FF2B5EF4-FFF2-40B4-BE49-F238E27FC236}">
                <a16:creationId xmlns:a16="http://schemas.microsoft.com/office/drawing/2014/main" id="{BCBDD6B8-F0DB-C184-EC8A-A74D3E22BCA4}"/>
              </a:ext>
            </a:extLst>
          </xdr:cNvPr>
          <xdr:cNvGrpSpPr/>
        </xdr:nvGrpSpPr>
        <xdr:grpSpPr>
          <a:xfrm>
            <a:off x="198045" y="3663821"/>
            <a:ext cx="655434" cy="227822"/>
            <a:chOff x="1509155" y="1738004"/>
            <a:chExt cx="909204" cy="228600"/>
          </a:xfrm>
          <a:solidFill>
            <a:sysClr val="window" lastClr="FFFFFF"/>
          </a:solidFill>
        </xdr:grpSpPr>
        <xdr:sp macro="" textlink="">
          <xdr:nvSpPr>
            <xdr:cNvPr id="41" name="Text Box 2">
              <a:extLst>
                <a:ext uri="{FF2B5EF4-FFF2-40B4-BE49-F238E27FC236}">
                  <a16:creationId xmlns:a16="http://schemas.microsoft.com/office/drawing/2014/main" id="{D168804A-E9AB-E8EC-DBAB-B56B5A88F6B9}"/>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2" name="Straight Connector 41">
              <a:extLst>
                <a:ext uri="{FF2B5EF4-FFF2-40B4-BE49-F238E27FC236}">
                  <a16:creationId xmlns:a16="http://schemas.microsoft.com/office/drawing/2014/main" id="{AAD6B3DD-E192-2D43-E9C7-19D6EBB10476}"/>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 name="Straight Connector 42">
              <a:extLst>
                <a:ext uri="{FF2B5EF4-FFF2-40B4-BE49-F238E27FC236}">
                  <a16:creationId xmlns:a16="http://schemas.microsoft.com/office/drawing/2014/main" id="{C687755A-48DF-1705-21CC-AE9DC3EF8DB9}"/>
                </a:ext>
              </a:extLst>
            </xdr:cNvPr>
            <xdr:cNvCxnSpPr>
              <a:stCxn id="41"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 name="Straight Connector 43">
              <a:extLst>
                <a:ext uri="{FF2B5EF4-FFF2-40B4-BE49-F238E27FC236}">
                  <a16:creationId xmlns:a16="http://schemas.microsoft.com/office/drawing/2014/main" id="{F689EDB4-FBF3-BD7F-909E-7AB409771B01}"/>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36" name="Group 35">
            <a:extLst>
              <a:ext uri="{FF2B5EF4-FFF2-40B4-BE49-F238E27FC236}">
                <a16:creationId xmlns:a16="http://schemas.microsoft.com/office/drawing/2014/main" id="{203BEAC2-36B2-B2DA-F6CB-1AE867B5A1F5}"/>
              </a:ext>
            </a:extLst>
          </xdr:cNvPr>
          <xdr:cNvGrpSpPr/>
        </xdr:nvGrpSpPr>
        <xdr:grpSpPr>
          <a:xfrm>
            <a:off x="853481" y="3663821"/>
            <a:ext cx="655434" cy="227822"/>
            <a:chOff x="1509155" y="1738004"/>
            <a:chExt cx="909204" cy="228600"/>
          </a:xfrm>
          <a:solidFill>
            <a:sysClr val="window" lastClr="FFFFFF"/>
          </a:solidFill>
        </xdr:grpSpPr>
        <xdr:sp macro="" textlink="">
          <xdr:nvSpPr>
            <xdr:cNvPr id="37" name="Text Box 2">
              <a:extLst>
                <a:ext uri="{FF2B5EF4-FFF2-40B4-BE49-F238E27FC236}">
                  <a16:creationId xmlns:a16="http://schemas.microsoft.com/office/drawing/2014/main" id="{F2DB223A-9A95-B93D-23FE-EB8F6606C8DD}"/>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38" name="Straight Connector 37">
              <a:extLst>
                <a:ext uri="{FF2B5EF4-FFF2-40B4-BE49-F238E27FC236}">
                  <a16:creationId xmlns:a16="http://schemas.microsoft.com/office/drawing/2014/main" id="{08196A1B-B712-C742-2524-49B454EE7B55}"/>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248C0CD5-5E5C-331D-8823-4C1F8CE677AC}"/>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AAF9278F-3BE4-5A09-5E3C-EA62D6EC5DCF}"/>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110733</xdr:colOff>
      <xdr:row>79</xdr:row>
      <xdr:rowOff>34645</xdr:rowOff>
    </xdr:from>
    <xdr:to>
      <xdr:col>27</xdr:col>
      <xdr:colOff>163004</xdr:colOff>
      <xdr:row>80</xdr:row>
      <xdr:rowOff>116102</xdr:rowOff>
    </xdr:to>
    <xdr:grpSp>
      <xdr:nvGrpSpPr>
        <xdr:cNvPr id="45" name="Group 44">
          <a:extLst>
            <a:ext uri="{FF2B5EF4-FFF2-40B4-BE49-F238E27FC236}">
              <a16:creationId xmlns:a16="http://schemas.microsoft.com/office/drawing/2014/main" id="{344CF876-FE61-4E3F-B863-ABEC43E80540}"/>
            </a:ext>
          </a:extLst>
        </xdr:cNvPr>
        <xdr:cNvGrpSpPr/>
      </xdr:nvGrpSpPr>
      <xdr:grpSpPr>
        <a:xfrm>
          <a:off x="3855684" y="10804865"/>
          <a:ext cx="1353247" cy="220847"/>
          <a:chOff x="198045" y="3663821"/>
          <a:chExt cx="1310870" cy="227822"/>
        </a:xfrm>
      </xdr:grpSpPr>
      <xdr:grpSp>
        <xdr:nvGrpSpPr>
          <xdr:cNvPr id="46" name="Group 45">
            <a:extLst>
              <a:ext uri="{FF2B5EF4-FFF2-40B4-BE49-F238E27FC236}">
                <a16:creationId xmlns:a16="http://schemas.microsoft.com/office/drawing/2014/main" id="{2F89724E-6379-5338-F658-F9AB4FD6ABF2}"/>
              </a:ext>
            </a:extLst>
          </xdr:cNvPr>
          <xdr:cNvGrpSpPr/>
        </xdr:nvGrpSpPr>
        <xdr:grpSpPr>
          <a:xfrm>
            <a:off x="198045" y="3663821"/>
            <a:ext cx="655434" cy="227822"/>
            <a:chOff x="1509155" y="1738004"/>
            <a:chExt cx="909204" cy="228600"/>
          </a:xfrm>
          <a:solidFill>
            <a:sysClr val="window" lastClr="FFFFFF"/>
          </a:solidFill>
        </xdr:grpSpPr>
        <xdr:sp macro="" textlink="">
          <xdr:nvSpPr>
            <xdr:cNvPr id="52" name="Text Box 2">
              <a:extLst>
                <a:ext uri="{FF2B5EF4-FFF2-40B4-BE49-F238E27FC236}">
                  <a16:creationId xmlns:a16="http://schemas.microsoft.com/office/drawing/2014/main" id="{5CFFF31A-161C-380D-EDC6-34C4A9C66375}"/>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53" name="Straight Connector 52">
              <a:extLst>
                <a:ext uri="{FF2B5EF4-FFF2-40B4-BE49-F238E27FC236}">
                  <a16:creationId xmlns:a16="http://schemas.microsoft.com/office/drawing/2014/main" id="{10E8846C-9861-E844-497B-8ED9F42E9D8B}"/>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a:extLst>
                <a:ext uri="{FF2B5EF4-FFF2-40B4-BE49-F238E27FC236}">
                  <a16:creationId xmlns:a16="http://schemas.microsoft.com/office/drawing/2014/main" id="{04B76FFF-D38F-2D89-2E1C-FD59AA3FD1A7}"/>
                </a:ext>
              </a:extLst>
            </xdr:cNvPr>
            <xdr:cNvCxnSpPr>
              <a:stCxn id="52"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a:extLst>
                <a:ext uri="{FF2B5EF4-FFF2-40B4-BE49-F238E27FC236}">
                  <a16:creationId xmlns:a16="http://schemas.microsoft.com/office/drawing/2014/main" id="{59B19EDB-C647-B9F4-E3C6-5B396FA56376}"/>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7" name="Group 46">
            <a:extLst>
              <a:ext uri="{FF2B5EF4-FFF2-40B4-BE49-F238E27FC236}">
                <a16:creationId xmlns:a16="http://schemas.microsoft.com/office/drawing/2014/main" id="{0632C555-EEEA-EC9F-AC62-4BEFC2CB1A77}"/>
              </a:ext>
            </a:extLst>
          </xdr:cNvPr>
          <xdr:cNvGrpSpPr/>
        </xdr:nvGrpSpPr>
        <xdr:grpSpPr>
          <a:xfrm>
            <a:off x="853481" y="3663821"/>
            <a:ext cx="655434" cy="227822"/>
            <a:chOff x="1509155" y="1738004"/>
            <a:chExt cx="909204" cy="228600"/>
          </a:xfrm>
          <a:solidFill>
            <a:sysClr val="window" lastClr="FFFFFF"/>
          </a:solidFill>
        </xdr:grpSpPr>
        <xdr:sp macro="" textlink="">
          <xdr:nvSpPr>
            <xdr:cNvPr id="48" name="Text Box 2">
              <a:extLst>
                <a:ext uri="{FF2B5EF4-FFF2-40B4-BE49-F238E27FC236}">
                  <a16:creationId xmlns:a16="http://schemas.microsoft.com/office/drawing/2014/main" id="{FBA5635F-51FC-757B-8F0C-5EDD198C90A9}"/>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9" name="Straight Connector 48">
              <a:extLst>
                <a:ext uri="{FF2B5EF4-FFF2-40B4-BE49-F238E27FC236}">
                  <a16:creationId xmlns:a16="http://schemas.microsoft.com/office/drawing/2014/main" id="{CE5C73DC-3EAB-7E13-2FE1-D9D9AED08E18}"/>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0" name="Straight Connector 49">
              <a:extLst>
                <a:ext uri="{FF2B5EF4-FFF2-40B4-BE49-F238E27FC236}">
                  <a16:creationId xmlns:a16="http://schemas.microsoft.com/office/drawing/2014/main" id="{B5E2DBE8-544B-A0D9-E653-07E3BDD6FD6B}"/>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1" name="Straight Connector 50">
              <a:extLst>
                <a:ext uri="{FF2B5EF4-FFF2-40B4-BE49-F238E27FC236}">
                  <a16:creationId xmlns:a16="http://schemas.microsoft.com/office/drawing/2014/main" id="{AF96E0CF-9A5E-B608-9A86-48CA85F0DD2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25770</xdr:colOff>
      <xdr:row>79</xdr:row>
      <xdr:rowOff>34644</xdr:rowOff>
    </xdr:from>
    <xdr:to>
      <xdr:col>16</xdr:col>
      <xdr:colOff>118968</xdr:colOff>
      <xdr:row>80</xdr:row>
      <xdr:rowOff>118348</xdr:rowOff>
    </xdr:to>
    <xdr:sp macro="" textlink="">
      <xdr:nvSpPr>
        <xdr:cNvPr id="56" name="Text Box 2">
          <a:extLst>
            <a:ext uri="{FF2B5EF4-FFF2-40B4-BE49-F238E27FC236}">
              <a16:creationId xmlns:a16="http://schemas.microsoft.com/office/drawing/2014/main" id="{F7A5C53F-0ED9-4359-BC85-C4E203F0C45F}"/>
            </a:ext>
          </a:extLst>
        </xdr:cNvPr>
        <xdr:cNvSpPr txBox="1">
          <a:spLocks noChangeArrowheads="1"/>
        </xdr:cNvSpPr>
      </xdr:nvSpPr>
      <xdr:spPr bwMode="auto">
        <a:xfrm>
          <a:off x="1488810" y="10702644"/>
          <a:ext cx="1556238" cy="220864"/>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editAs="oneCell">
    <xdr:from>
      <xdr:col>29</xdr:col>
      <xdr:colOff>41673</xdr:colOff>
      <xdr:row>4</xdr:row>
      <xdr:rowOff>47625</xdr:rowOff>
    </xdr:from>
    <xdr:to>
      <xdr:col>39</xdr:col>
      <xdr:colOff>164783</xdr:colOff>
      <xdr:row>6</xdr:row>
      <xdr:rowOff>85725</xdr:rowOff>
    </xdr:to>
    <xdr:pic>
      <xdr:nvPicPr>
        <xdr:cNvPr id="57" name="Picture 56" descr="C:\Users\kimberly.forones\AppData\Local\Microsoft\Windows\INetCache\Content.Word\2307 0118ENCS.PNG">
          <a:extLst>
            <a:ext uri="{FF2B5EF4-FFF2-40B4-BE49-F238E27FC236}">
              <a16:creationId xmlns:a16="http://schemas.microsoft.com/office/drawing/2014/main" id="{32B418D2-DFC4-4496-8836-9C0EDD6B48FA}"/>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75673" y="565785"/>
          <a:ext cx="1906190" cy="40386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lrosario-c75/Downloads/BIR%202307%20Certificate%20of%20Creditable%20Tax%20Withheld%20at%20Source.xlsx" TargetMode="External"/><Relationship Id="rId2" Type="http://schemas.openxmlformats.org/officeDocument/2006/relationships/externalLinkPath" Target="file:///C:\Users\delrosario-c75\Downloads\BIR%202307%20Certificate%20of%20Creditable%20Tax%20Withheld%20at%20Source.xlsx" TargetMode="External"/><Relationship Id="rId1" Type="http://schemas.openxmlformats.org/officeDocument/2006/relationships/externalLinkPath" Target="/Users/delrosario-c75/Downloads/BIR%202307%20Certificate%20of%20Creditable%20Tax%20Withheld%20at%20Sour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IR2307"/>
      <sheetName val="Page1"/>
      <sheetName val="Page2"/>
      <sheetName val="BIR2307 (2)"/>
    </sheetNames>
    <sheetDataSet>
      <sheetData sheetId="0" refreshError="1"/>
      <sheetData sheetId="1" refreshError="1"/>
      <sheetData sheetId="2" refreshError="1">
        <row r="1">
          <cell r="AS1" t="str">
            <v>20240101</v>
          </cell>
          <cell r="AT1" t="str">
            <v>20240331</v>
          </cell>
        </row>
        <row r="2">
          <cell r="AS2" t="str">
            <v>20240401</v>
          </cell>
          <cell r="AT2" t="str">
            <v>20240630</v>
          </cell>
        </row>
        <row r="3">
          <cell r="AS3" t="str">
            <v>20240701</v>
          </cell>
          <cell r="AT3" t="str">
            <v>20240930</v>
          </cell>
        </row>
        <row r="4">
          <cell r="AS4" t="str">
            <v>20241001</v>
          </cell>
          <cell r="AT4" t="str">
            <v>20241231</v>
          </cell>
        </row>
        <row r="5">
          <cell r="AS5" t="str">
            <v>20250101</v>
          </cell>
          <cell r="AT5" t="str">
            <v>20250331</v>
          </cell>
        </row>
        <row r="6">
          <cell r="AS6" t="str">
            <v>20250401</v>
          </cell>
          <cell r="AT6" t="str">
            <v>20250630</v>
          </cell>
        </row>
        <row r="7">
          <cell r="AP7" t="str">
            <v>WC010</v>
          </cell>
          <cell r="AQ7" t="str">
            <v>PROFESSIONAL (LAWYERS, CPAS, ENGINEERS, ETC.) - IF GROSS INCOME FOR THE CURRENT YEAR DID NOT EXCEED P 720,000</v>
          </cell>
          <cell r="AR7">
            <v>0.1</v>
          </cell>
          <cell r="AS7" t="str">
            <v>20250701</v>
          </cell>
          <cell r="AT7" t="str">
            <v>20250930</v>
          </cell>
        </row>
        <row r="8">
          <cell r="AP8" t="str">
            <v>WC011</v>
          </cell>
          <cell r="AQ8" t="str">
            <v>PROFESSIONAL (LAWYERS, CPAS, ENGINEERS, ETC.) - IF GROSS INCOME EXCEEDS P 720,000</v>
          </cell>
          <cell r="AR8">
            <v>0.15</v>
          </cell>
          <cell r="AS8" t="str">
            <v>20251001</v>
          </cell>
          <cell r="AT8" t="str">
            <v>20251231</v>
          </cell>
        </row>
        <row r="9">
          <cell r="AP9" t="str">
            <v>WC020</v>
          </cell>
          <cell r="AQ9" t="str">
            <v>PROFESSIONAL ENTERTAINERS SUCH AS, BUT NOT LIMITED TO ACTORS AND ACTRESSES, SINGERS, LYRICISTS, COMPOSERS, EMCEES - IF GROSS INCOME FOR THE CURRENT YEAR DID NOT EXCEED P 720,000</v>
          </cell>
          <cell r="AR9">
            <v>0.1</v>
          </cell>
          <cell r="AS9" t="str">
            <v>20260101</v>
          </cell>
          <cell r="AT9" t="str">
            <v>20260331</v>
          </cell>
        </row>
        <row r="10">
          <cell r="AP10" t="str">
            <v>WC021</v>
          </cell>
          <cell r="AQ10" t="str">
            <v>PROFESSIONAL ENTERTAINERS SUCH AS, BUT NOT LIMITED TO ACTORS AND ACTRESSES, SINGERS, LYRICISTS, COMPOSERS, EMCEES - IF GROSS INCOME EXCEEDS P 720,000</v>
          </cell>
          <cell r="AR10">
            <v>0.15</v>
          </cell>
          <cell r="AS10" t="str">
            <v>20260401</v>
          </cell>
          <cell r="AT10" t="str">
            <v>20260630</v>
          </cell>
        </row>
        <row r="11">
          <cell r="AP11" t="str">
            <v>WC030</v>
          </cell>
          <cell r="AQ11" t="str">
            <v>PROFESSIONAL ATHLETES INCLUDING BASKETBALL PLAYERS, PELOTARIS AND JOCKEYS - IF GROSS INCOME FOR THE CURRENT YEAR DID NOT EXCEED P 720,000</v>
          </cell>
          <cell r="AR11">
            <v>0.1</v>
          </cell>
          <cell r="AS11" t="str">
            <v>20260701</v>
          </cell>
          <cell r="AT11" t="str">
            <v>20260930</v>
          </cell>
        </row>
        <row r="12">
          <cell r="AP12" t="str">
            <v>WC031</v>
          </cell>
          <cell r="AQ12" t="str">
            <v>PROFESSIONAL ATHLETES INCLUDING BASKETBALL PLAYERS, PELOTARIS AND JOCKEYS - IF GROSS INCOME EXCEEDS P 720,000</v>
          </cell>
          <cell r="AR12">
            <v>0.15</v>
          </cell>
          <cell r="AS12" t="str">
            <v>20261001</v>
          </cell>
          <cell r="AT12" t="str">
            <v>20261231</v>
          </cell>
        </row>
        <row r="13">
          <cell r="AP13" t="str">
            <v>WC040</v>
          </cell>
          <cell r="AQ13" t="str">
            <v>ALL DIRECTORS AND PRODUCERS INVOLVED IN MOVIES, STAGE, RADIO, TELEVISION AND MUSICAL PRODUCTIONS - IF GROSS INCOME FOR THE CURRENT YEAR DID NOT EXCEED P 720,000</v>
          </cell>
          <cell r="AR13">
            <v>0.1</v>
          </cell>
        </row>
        <row r="14">
          <cell r="AP14" t="str">
            <v>WC041</v>
          </cell>
          <cell r="AQ14" t="str">
            <v>ALL DIRECTORS AND PRODUCERS INVOLVED IN MOVIES, STAGE, RADIO, TELEVISION AND MUSICAL PRODUCTIONS - IF GROSS INCOME EXCEEDS P 720,000</v>
          </cell>
          <cell r="AR14">
            <v>0.15</v>
          </cell>
        </row>
        <row r="15">
          <cell r="AP15" t="str">
            <v>WC050</v>
          </cell>
          <cell r="AQ15" t="str">
            <v>MANAGEMENT AND TECHNICAL CONSULTANTS - IF GROSS INCOME FOR THE CURRENT YEAR DID NOT EXCEED P 720,000</v>
          </cell>
          <cell r="AR15">
            <v>0.1</v>
          </cell>
        </row>
        <row r="16">
          <cell r="AP16" t="str">
            <v>WC051</v>
          </cell>
          <cell r="AQ16" t="str">
            <v>MANAGEMENT AND TECHNICAL CONSULTANTS - IF GROSS INCOME EXCEEDS P 720,000</v>
          </cell>
          <cell r="AR16">
            <v>0.15</v>
          </cell>
        </row>
        <row r="17">
          <cell r="AP17" t="str">
            <v>WC060</v>
          </cell>
          <cell r="AQ17" t="str">
            <v>BUSINESS AND BOOKKEEPING AGENTS AND AGENCIES - IF GROSS INCOME FOR THE CURRENT YEAR DID NOT EXCEED P 720,000</v>
          </cell>
          <cell r="AR17">
            <v>0.1</v>
          </cell>
        </row>
        <row r="18">
          <cell r="AP18" t="str">
            <v>WC061</v>
          </cell>
          <cell r="AQ18" t="str">
            <v>BUSINESS AND BOOKKEEPING AGENTS AND AGENCIES - IF GROSS INCOME EXCEEDS P 720,000</v>
          </cell>
          <cell r="AR18">
            <v>0.15</v>
          </cell>
        </row>
        <row r="19">
          <cell r="AP19" t="str">
            <v>WC070</v>
          </cell>
          <cell r="AQ19" t="str">
            <v>INSURANCE AGENTS AND INSURANCE ADJUSTERS - IF GROSS INCOME FOR THE CURRENT YEAR DID NOT EXCEED P 720,000</v>
          </cell>
          <cell r="AR19">
            <v>0.1</v>
          </cell>
        </row>
        <row r="20">
          <cell r="AP20" t="str">
            <v>WC071</v>
          </cell>
          <cell r="AQ20" t="str">
            <v>INSURANCE AGENTS AND INSURANCE ADJUSTERS - IF GROSS INCOME EXCEEDS P 720,000</v>
          </cell>
          <cell r="AR20">
            <v>0.15</v>
          </cell>
        </row>
        <row r="21">
          <cell r="AP21" t="str">
            <v>WC080</v>
          </cell>
          <cell r="AQ21" t="str">
            <v>OTHER RECIPIENTS OF TALENT FEES - IF GROSS INCOME FOR THE CURRENT YEAR DID NOT EXCEED P 720,000</v>
          </cell>
          <cell r="AR21">
            <v>0.1</v>
          </cell>
        </row>
        <row r="22">
          <cell r="AP22" t="str">
            <v>WC081</v>
          </cell>
          <cell r="AQ22" t="str">
            <v>OTHER RECIPIENTS OF TALENT FEES - IF GROSS INCOME EXCEEDS P 720,000</v>
          </cell>
          <cell r="AR22">
            <v>0.15</v>
          </cell>
        </row>
        <row r="23">
          <cell r="AP23" t="str">
            <v>WC100</v>
          </cell>
          <cell r="AQ23" t="e">
            <v>#VALUE!</v>
          </cell>
          <cell r="AR23">
            <v>0.05</v>
          </cell>
        </row>
        <row r="24">
          <cell r="AP24" t="str">
            <v>WC110</v>
          </cell>
          <cell r="AQ24" t="str">
            <v>CINEMATOGRAPHIC FILM RENTALS AND OTHER PAYMENTS TO RESIDENT INDIVIDUALS AND CORPORATE CINEMATOGRAPHIC FILM OWNERS, LESSORS OR DISTRIBUTORS</v>
          </cell>
          <cell r="AR24">
            <v>0.05</v>
          </cell>
        </row>
        <row r="25">
          <cell r="AP25" t="str">
            <v>WC120</v>
          </cell>
          <cell r="AQ25" t="str">
            <v>INCOME PAYMENTS TO CERTAIN CONTRACTORS</v>
          </cell>
          <cell r="AR25">
            <v>0.02</v>
          </cell>
        </row>
        <row r="26">
          <cell r="AP26" t="str">
            <v>WC139</v>
          </cell>
          <cell r="AQ26" t="e">
            <v>#VALUE!</v>
          </cell>
          <cell r="AR26">
            <v>0.1</v>
          </cell>
        </row>
        <row r="27">
          <cell r="AP27" t="str">
            <v>WC140</v>
          </cell>
          <cell r="AQ27" t="e">
            <v>#VALUE!</v>
          </cell>
          <cell r="AR27">
            <v>0.15</v>
          </cell>
        </row>
        <row r="28">
          <cell r="AP28" t="str">
            <v>WC150</v>
          </cell>
          <cell r="AQ28" t="e">
            <v>#VALUE!</v>
          </cell>
          <cell r="AR28">
            <v>0.15</v>
          </cell>
        </row>
        <row r="29">
          <cell r="AP29" t="str">
            <v>WC151</v>
          </cell>
          <cell r="AQ29" t="e">
            <v>#VALUE!</v>
          </cell>
          <cell r="AR29">
            <v>0.1</v>
          </cell>
        </row>
        <row r="30">
          <cell r="AP30" t="str">
            <v>WC156</v>
          </cell>
          <cell r="AQ30" t="str">
            <v>INCOME PAYMENTS MADE BY CREDIT CARD COMPANIES</v>
          </cell>
          <cell r="AR30">
            <v>5.0000000000000001E-3</v>
          </cell>
        </row>
        <row r="31">
          <cell r="AP31" t="str">
            <v>WC157</v>
          </cell>
          <cell r="AQ31" t="str">
            <v>INCOME PAYMENTS MADE BY THE GOVERNMENT AND GOVERNMENT-OWNED AND CONTROLLED CORPORATIONS (GOCCS) TO ITS LOCAL/RESIDENT SUPPLIERS OF SERVICES OTHER THAN THOSE COVERED BY OTHER RATES OF WITHHOLDING TAX</v>
          </cell>
          <cell r="AR31">
            <v>0.02</v>
          </cell>
        </row>
        <row r="32">
          <cell r="AP32" t="str">
            <v>WC158</v>
          </cell>
          <cell r="AQ32" t="str">
            <v>INCOME PAYMENT MADE BY TOP WITHHOLDING AGENTS TO THEIR LOCAL/RESIDENT SUPPLIER OF GOODS OTHER THAN THOSE COVERED BY OTHER RATES OF WITHHOLDING TAX</v>
          </cell>
          <cell r="AR32">
            <v>0.01</v>
          </cell>
        </row>
        <row r="33">
          <cell r="AP33" t="str">
            <v>WC160</v>
          </cell>
          <cell r="AQ33" t="str">
            <v>INCOME PAYMENT MADE BY TOP WITHHOLDING AGENTS TO THEIR LOCAL/RESIDENT SUPPLIER OF SERVICES OTHER THAN THOSE COVERED BY OTHER RATES OF WITHHOLDING TAX</v>
          </cell>
          <cell r="AR33">
            <v>0.02</v>
          </cell>
        </row>
        <row r="34">
          <cell r="AP34" t="str">
            <v>WC515</v>
          </cell>
          <cell r="AQ34" t="e">
            <v>#VALUE!</v>
          </cell>
          <cell r="AR34">
            <v>0.1</v>
          </cell>
        </row>
        <row r="35">
          <cell r="AP35" t="str">
            <v>WC516</v>
          </cell>
          <cell r="AQ35" t="e">
            <v>#VALUE!</v>
          </cell>
          <cell r="AR35">
            <v>0.15</v>
          </cell>
        </row>
        <row r="36">
          <cell r="AP36" t="str">
            <v>WC110</v>
          </cell>
          <cell r="AQ36" t="str">
            <v>CINEMATOGRAPHIC FILM RENTALS AND OTHER PAYMENTS TO RESIDENT INDIVIDUALS AND CORPORATE CINEMATOGRAPHIC FILM OWNERS, LESSORS OR DISTRIBUTORS</v>
          </cell>
          <cell r="AR36">
            <v>0.05</v>
          </cell>
        </row>
        <row r="37">
          <cell r="AP37" t="str">
            <v>WC610</v>
          </cell>
          <cell r="AQ37" t="str">
            <v>INCOME PAYMENTS MADE TO SUPPLIERS OF AGRICULTURAL PRODUCTS IN EXCESS OF CUMULATIVE AMOUNT OF P 300,000 WITHIN THE SAME TAXABLE YEAR</v>
          </cell>
          <cell r="AR37">
            <v>0.01</v>
          </cell>
        </row>
        <row r="38">
          <cell r="AP38" t="str">
            <v>WC630</v>
          </cell>
          <cell r="AQ38" t="str">
            <v>INCOME PAYMENTS ON PURCHASES OF MINERALS, MINERAL PRODUCTS AND QUARRY RESOURCES, SUCH AS BUT NOT LIMITED TO SILVER, GOLD, MARBLE, GRANITE, GRAVEL, SAND, BOULDERS AND OTHER MINERAL PRODUCTS EXCEPT PURCHASES BY BANGKO SENTRAL NG PILIPINAS</v>
          </cell>
          <cell r="AR38">
            <v>0.05</v>
          </cell>
        </row>
        <row r="39">
          <cell r="AP39" t="str">
            <v>WC632</v>
          </cell>
          <cell r="AQ39" t="str">
            <v>INCOME PAYMENTS ON PURCHASES OF MINERALS, MINERAL PRODUCTS AND QUARRY RESOURCES BY BANGKO SENTRAL NG PILIPINAS (BSP) FROM GOLD MINERS/SUPPLIERS UNDER PD 1899, AS AMENDED BY RA NO. 7076</v>
          </cell>
          <cell r="AR39">
            <v>0.01</v>
          </cell>
        </row>
        <row r="40">
          <cell r="AP40" t="str">
            <v>WC640</v>
          </cell>
          <cell r="AQ40" t="str">
            <v>INCOME PAYMENTS MADE BY THE GOVERNMENT AND GOVERNMENT-OWNED AND CONTROLLED CORPORATIONS (GOCCS) TO ITS LOCAL/RESIDENT SUPPLIERS OF GOODS OTHER THAN THOSE COVERED BY OTHER RATES OF WITHHOLDING TAX</v>
          </cell>
          <cell r="AR40">
            <v>0.01</v>
          </cell>
        </row>
        <row r="41">
          <cell r="AP41" t="str">
            <v>WC650</v>
          </cell>
          <cell r="AQ41" t="str">
            <v>ON GROSS AMOUNT OF REFUND GIVEN BY MERALCO TO CUSTOMERS WITH ACTIVE CONTRACTS AS CLASSIFIED BY MERALCO</v>
          </cell>
          <cell r="AR41">
            <v>0.25</v>
          </cell>
        </row>
        <row r="42">
          <cell r="AP42" t="str">
            <v>WC651</v>
          </cell>
          <cell r="AQ42" t="str">
            <v>ON GROSS AMOUNT OF REFUND GIVEN BY MERALCO TO CUSTOMERS WITH TERMINATED CONTRACTS AS CLASSIFIED BY MERALCO</v>
          </cell>
          <cell r="AR42">
            <v>0.32</v>
          </cell>
        </row>
        <row r="43">
          <cell r="AP43" t="str">
            <v>WC660</v>
          </cell>
          <cell r="AQ43" t="e">
            <v>#VALUE!</v>
          </cell>
          <cell r="AR43">
            <v>0.1</v>
          </cell>
        </row>
        <row r="44">
          <cell r="AP44" t="str">
            <v>WC661</v>
          </cell>
          <cell r="AQ44" t="str">
            <v>ON GROSS AMOUNT OF INTEREST ON THE REFUND OF METER DEPOSIT WHETHER PAID DIRECTLY TO THE CUSTOMERS OR APPLIED AGAINST CUSTOMERS BILLINGS OF NON-RESIDENTIAL CUSTOMERS WHOSE MONTHLY ELECTRICITY CONSUMPTION EXCEEDS 200 KWH AS CLASSIFIED BY MERALCO</v>
          </cell>
          <cell r="AR44">
            <v>0.1</v>
          </cell>
        </row>
        <row r="45">
          <cell r="AP45" t="str">
            <v>WC662</v>
          </cell>
          <cell r="AQ45" t="e">
            <v>#VALUE!</v>
          </cell>
          <cell r="AR45">
            <v>0.1</v>
          </cell>
        </row>
        <row r="46">
          <cell r="AP46" t="str">
            <v>WC663</v>
          </cell>
          <cell r="AQ46" t="e">
            <v>#VALUE!</v>
          </cell>
          <cell r="AR46">
            <v>0.2</v>
          </cell>
        </row>
        <row r="47">
          <cell r="AP47" t="str">
            <v>WC680</v>
          </cell>
          <cell r="AQ47" t="e">
            <v>#VALUE!</v>
          </cell>
          <cell r="AR47">
            <v>0.05</v>
          </cell>
        </row>
        <row r="48">
          <cell r="AP48" t="str">
            <v>WC690</v>
          </cell>
          <cell r="AQ48" t="str">
            <v>INCOME PAYMENTS RECEIVED BY REAL ESTATE INVESTMENT TRUST (REIT)</v>
          </cell>
          <cell r="AR48">
            <v>0.01</v>
          </cell>
        </row>
        <row r="49">
          <cell r="AP49" t="str">
            <v>WC710</v>
          </cell>
          <cell r="AQ49" t="str">
            <v>INTEREST INCOME DERIVED FROM ANY OTHER DEBT INSTRUMENTS NOT WITHIN THE COVERAGE OF DEPOSIT SUBSTITUTES AND REVENUE REGULATIONS NO. 14-2012</v>
          </cell>
          <cell r="AR49">
            <v>0.2</v>
          </cell>
        </row>
        <row r="50">
          <cell r="AP50" t="str">
            <v>WC720</v>
          </cell>
          <cell r="AQ50" t="str">
            <v>INCOME PAYMENTS ON LOCALLY PRODUCED RAW SUGAR</v>
          </cell>
          <cell r="AR50">
            <v>0.01</v>
          </cell>
        </row>
        <row r="51">
          <cell r="AP51" t="str">
            <v>WI010</v>
          </cell>
          <cell r="AQ51" t="str">
            <v>PROFESSIONAL (LAWYERS, CPAS, ENGINEERS, ETC.) - IF GROSS INCOME FOR THE CURRENT YEAR DID NOT EXCEED P 3M</v>
          </cell>
          <cell r="AR51">
            <v>0.05</v>
          </cell>
        </row>
        <row r="52">
          <cell r="AP52" t="str">
            <v>WI011</v>
          </cell>
          <cell r="AQ52" t="str">
            <v>PROFESSIONAL (LAWYERS, CPAS, ENGINEERS, ETC.) - IF GROSS INCOME IS MORE THAN P 3M OR VAT REGISTERED REGARDLESS OF AMOUNT</v>
          </cell>
          <cell r="AR52">
            <v>0.1</v>
          </cell>
        </row>
        <row r="53">
          <cell r="AP53" t="str">
            <v>WI020</v>
          </cell>
          <cell r="AQ53" t="str">
            <v>PROFESSIONAL ENTERTAINERS SUCH AS, BUT NOT LIMITED TO ACTORS AND ACTRESSES, SINGERS, LYRICISTS, COMPOSERS, EMCEES - IF GROSS INCOME FOR THE CURRENT YEAR DID NOT EXCEED P 3M</v>
          </cell>
          <cell r="AR53">
            <v>0.05</v>
          </cell>
        </row>
        <row r="54">
          <cell r="AP54" t="str">
            <v>WI021</v>
          </cell>
          <cell r="AQ54" t="str">
            <v>PROFESSIONAL ENTERTAINERS SUCH AS, BUT NOT LIMITED TO ACTORS AND ACTRESSES, SINGERS, LYRICISTS, COMPOSERS, EMCEES - IF GROSS INCOME IS MORE THAN P 3M OR VAT REGISTERED REGARDLESS OF AMOUNT</v>
          </cell>
          <cell r="AR54">
            <v>0.1</v>
          </cell>
        </row>
        <row r="55">
          <cell r="AP55" t="str">
            <v>WI030</v>
          </cell>
          <cell r="AQ55" t="str">
            <v>PROFESSIONAL ATHLETES INCLUDING BASKETBALL PLAYERS, PELOTARIS AND JOCKEYS - IF GROSS INCOME FOR THE CURRENT YEAR DID NOT EXCEED P 3M</v>
          </cell>
          <cell r="AR55">
            <v>0.05</v>
          </cell>
        </row>
        <row r="56">
          <cell r="AP56" t="str">
            <v>WI031</v>
          </cell>
          <cell r="AQ56" t="str">
            <v>PROFESSIONAL ATHLETES INCLUDING BASKETBALL PLAYERS, PELOTARIS AND JOCKEYS - IF GROSS INCOME IS MORE THAN P 3M OR VAT REGISTERED REGARDLESS OF AMOUNT</v>
          </cell>
          <cell r="AR56">
            <v>0.1</v>
          </cell>
        </row>
        <row r="57">
          <cell r="AP57" t="str">
            <v>WI040</v>
          </cell>
          <cell r="AQ57" t="str">
            <v>ALL DIRECTORS AND PRODUCERS INVOLVED IN MOVIES, STAGE, RADIO, TELEVISION AND MUSICAL PRODUCTIONS - IF GROSS INCOME FOR THE CURRENT YEAR DID NOT EXCEED P 3M</v>
          </cell>
          <cell r="AR57">
            <v>0.05</v>
          </cell>
        </row>
        <row r="58">
          <cell r="AP58" t="str">
            <v>WI041</v>
          </cell>
          <cell r="AQ58" t="str">
            <v>ALL DIRECTORS AND PRODUCERS INVOLVED IN MOVIES, STAGE, RADIO, TELEVISION AND MUSICAL PRODUCTIONS - IF GROSS INCOME IS MORE THAN P 3M OR VAT REGISTERED REGARDLESS OF AMOUNT</v>
          </cell>
          <cell r="AR58">
            <v>0.1</v>
          </cell>
        </row>
        <row r="59">
          <cell r="AP59" t="str">
            <v>WI050</v>
          </cell>
          <cell r="AQ59" t="str">
            <v>MANAGEMENT AND TECHNICAL CONSULTANTS - IF GROSS INCOME FOR THE CURRENT YEAR DID NOT EXCEED P 3M</v>
          </cell>
          <cell r="AR59">
            <v>0.05</v>
          </cell>
        </row>
        <row r="60">
          <cell r="AP60" t="str">
            <v>WI051</v>
          </cell>
          <cell r="AQ60" t="str">
            <v>MANAGEMENT AND TECHNICAL CONSULTANTS - IF GROSS INCOME IS MORE THAN P 3M OR VAT REGISTERED REGARDLESS OF AMOUNT</v>
          </cell>
          <cell r="AR60">
            <v>0.1</v>
          </cell>
        </row>
        <row r="61">
          <cell r="AP61" t="str">
            <v>WI060</v>
          </cell>
          <cell r="AQ61" t="str">
            <v>BUSINESS AND BOOKKEEPING AGENTS AND AGENCIES - IF GROSS INCOME FOR THE CURRENT YEAR DID NOT EXCEED P 3M</v>
          </cell>
          <cell r="AR61">
            <v>0.05</v>
          </cell>
        </row>
        <row r="62">
          <cell r="AP62" t="str">
            <v>WI061</v>
          </cell>
          <cell r="AQ62" t="str">
            <v>BUSINESS AND BOOKKEEPING AGENTS AND AGENCIES -IF GROSS INCOME IS MORE THAN P 3M OR VAT REGISTERED REGARDLESS OF AMOUNT</v>
          </cell>
          <cell r="AR62">
            <v>0.1</v>
          </cell>
        </row>
        <row r="63">
          <cell r="AP63" t="str">
            <v>WI070</v>
          </cell>
          <cell r="AQ63" t="str">
            <v>INSURANCE AGENTS AND INSURANCE ADJUSTERS - IF GROSS INCOME FOR THE CURRENT YEAR DID NOT EXCEED P 3M</v>
          </cell>
          <cell r="AR63">
            <v>0.05</v>
          </cell>
        </row>
        <row r="64">
          <cell r="AP64" t="str">
            <v>WI071</v>
          </cell>
          <cell r="AQ64" t="str">
            <v>INSURANCE AGENTS AND INSURANCE ADJUSTERS - IF GROSS INCOME IS MORE THAN P 3M OR VAT REGISTERED REGARDLESS OF AMOUNT</v>
          </cell>
          <cell r="AR64">
            <v>0.1</v>
          </cell>
        </row>
        <row r="65">
          <cell r="AP65" t="str">
            <v>WI080</v>
          </cell>
          <cell r="AQ65" t="str">
            <v>OTHER RECIPIENTS OF TALENT FEES - IF GROSS INCOME FOR THE CURRENT YEAR DID NOT EXCEED P 3M</v>
          </cell>
          <cell r="AR65">
            <v>0.05</v>
          </cell>
        </row>
        <row r="66">
          <cell r="AP66" t="str">
            <v>WI081</v>
          </cell>
          <cell r="AQ66" t="str">
            <v>OTHER RECIPIENTS OF TALENT FEES - IF GROSS INCOME IS MORE THAN P 3M OR VAT REGISTERED REGARDLESS OF AMOUNT</v>
          </cell>
          <cell r="AR66">
            <v>0.1</v>
          </cell>
        </row>
        <row r="67">
          <cell r="AP67" t="str">
            <v>WI090</v>
          </cell>
          <cell r="AQ67" t="str">
            <v>FEES OF DIRECTORS WHO ARE NOT EMPLOYEES OF THE COMPANY - IF GROSS INCOME FOR THE CURRENT YEAR DID NOT EXCEED P 3M</v>
          </cell>
          <cell r="AR67">
            <v>0.05</v>
          </cell>
        </row>
        <row r="68">
          <cell r="AP68" t="str">
            <v>WI091</v>
          </cell>
          <cell r="AQ68" t="str">
            <v>FEES OF DIRECTORS WHO ARE NOT EMPLOYEES OF THE COMPANY - IF GROSS INCOME IS MORE THAN P 3M OR VAT REGISTERED REGARDLESS OF AMOUNT</v>
          </cell>
          <cell r="AR68">
            <v>0.1</v>
          </cell>
        </row>
        <row r="69">
          <cell r="AP69" t="str">
            <v>WI100</v>
          </cell>
          <cell r="AQ69" t="e">
            <v>#VALUE!</v>
          </cell>
          <cell r="AR69">
            <v>0.05</v>
          </cell>
        </row>
        <row r="70">
          <cell r="AP70" t="str">
            <v>WI110</v>
          </cell>
          <cell r="AQ70" t="str">
            <v>CINEMATOGRAPHIC FILM RENTALS AND OTHER PAYMENTS TO RESIDENT INDIVIDUALS AND CORPORATE CINEMATOGRAPHIC FILM OWNERS, LESSORS OR DISTRIBUTORS</v>
          </cell>
          <cell r="AR70">
            <v>0.05</v>
          </cell>
        </row>
        <row r="71">
          <cell r="AP71" t="str">
            <v>WI120</v>
          </cell>
          <cell r="AQ71" t="str">
            <v>INCOME PAYMENTS TO CERTAIN CONTRACTORS</v>
          </cell>
          <cell r="AR71">
            <v>0.02</v>
          </cell>
        </row>
        <row r="72">
          <cell r="AP72" t="str">
            <v>WI130</v>
          </cell>
          <cell r="AQ72" t="str">
            <v>INCOME DISTRIBUTION TO THE BENEFICIARIES OF ESTATES AND TRUSTS</v>
          </cell>
          <cell r="AR72">
            <v>0.15</v>
          </cell>
        </row>
        <row r="73">
          <cell r="AP73" t="str">
            <v>WI139</v>
          </cell>
          <cell r="AQ73" t="e">
            <v>#VALUE!</v>
          </cell>
          <cell r="AR73">
            <v>0.05</v>
          </cell>
        </row>
        <row r="74">
          <cell r="AP74" t="str">
            <v>WI140</v>
          </cell>
          <cell r="AQ74" t="e">
            <v>#VALUE!</v>
          </cell>
          <cell r="AR74">
            <v>0.1</v>
          </cell>
        </row>
        <row r="75">
          <cell r="AP75" t="str">
            <v>WI150</v>
          </cell>
          <cell r="AQ75" t="e">
            <v>#VALUE!</v>
          </cell>
          <cell r="AR75">
            <v>0.1</v>
          </cell>
        </row>
        <row r="76">
          <cell r="AP76" t="str">
            <v>WI151</v>
          </cell>
          <cell r="AQ76" t="e">
            <v>#VALUE!</v>
          </cell>
          <cell r="AR76">
            <v>0.05</v>
          </cell>
        </row>
        <row r="77">
          <cell r="AP77" t="str">
            <v>WI152</v>
          </cell>
          <cell r="AQ77" t="str">
            <v>PAYMENT BY THE GENERAL PROFESSIONAL PARTNERSHIPS (GPPS) TO ITS PARTNERS - IF GROSS INCOME FOR THE CURRENT YEAR DID NOT EXCEED P 720,000</v>
          </cell>
          <cell r="AR77">
            <v>0.1</v>
          </cell>
        </row>
        <row r="78">
          <cell r="AP78" t="str">
            <v>WI153</v>
          </cell>
          <cell r="AQ78" t="str">
            <v>PAYMENT BY THE GENERAL PROFESSIONAL PARTNERSHIPS (GPPS) TO ITS PARTNERS - IF GROSS INCOME EXCEEDS P 720,000</v>
          </cell>
          <cell r="AR78">
            <v>0.15</v>
          </cell>
        </row>
        <row r="79">
          <cell r="AP79" t="str">
            <v>WI156</v>
          </cell>
          <cell r="AQ79" t="str">
            <v>INCOME PAYMENTS MADE BY CREDIT CARD COMPANIES</v>
          </cell>
          <cell r="AR79">
            <v>5.0000000000000001E-3</v>
          </cell>
        </row>
        <row r="80">
          <cell r="AP80" t="str">
            <v>WI157</v>
          </cell>
          <cell r="AQ80" t="str">
            <v>INCOME PAYMENTS MADE BY THE GOVERNMENT AND GOVERNMENT-OWNED AND CONTROLLED CORPORATIONS (GOCCS) TO ITS LOCAL/RESIDENT SUPPLIERS OF SERVICES OTHER THAN THOSE COVERED BY OTHER RATES OF WITHHOLDING TAX</v>
          </cell>
          <cell r="AR80">
            <v>0.02</v>
          </cell>
        </row>
        <row r="81">
          <cell r="AP81" t="str">
            <v>WI158</v>
          </cell>
          <cell r="AQ81" t="str">
            <v>INCOME PAYMENT MADE BY TOP WITHHOLDING AGENTS TO THEIR LOCAL/RESIDENT SUPPLIER OF GOODS OTHER THAN THOSE COVERED BY OTHER RATES OF WITHHOLDING TAX</v>
          </cell>
          <cell r="AR81">
            <v>0.01</v>
          </cell>
        </row>
        <row r="82">
          <cell r="AP82" t="str">
            <v>WI159</v>
          </cell>
          <cell r="AQ82" t="str">
            <v>ADDITIONAL INCOME PAYMENTS TO GOVERNMENT PERSONNEL FROM IMPORTERS, SHIPPING AND AIRLINE COMPANIES OR THEIR AGENTS FOR OVERTIME SERVICES</v>
          </cell>
          <cell r="AR82">
            <v>0.15</v>
          </cell>
        </row>
        <row r="83">
          <cell r="AP83" t="str">
            <v>WI160</v>
          </cell>
          <cell r="AQ83" t="str">
            <v>INCOME PAYMENT MADE BY TOP WITHHOLDING AGENTS TO THEIR LOCAL/RESIDENT SUPPLIER OF SERVICES OTHER THAN THOSE COVERED BY OTHER RATES OF WITHHOLDING TAX</v>
          </cell>
          <cell r="AR83">
            <v>0.02</v>
          </cell>
        </row>
        <row r="84">
          <cell r="AP84" t="str">
            <v>WI515</v>
          </cell>
          <cell r="AQ84" t="e">
            <v>#VALUE!</v>
          </cell>
          <cell r="AR84">
            <v>0.05</v>
          </cell>
        </row>
        <row r="85">
          <cell r="AP85" t="str">
            <v>WI516</v>
          </cell>
          <cell r="AQ85" t="e">
            <v>#VALUE!</v>
          </cell>
          <cell r="AR85">
            <v>0.1</v>
          </cell>
        </row>
        <row r="86">
          <cell r="AP86" t="str">
            <v>WI530</v>
          </cell>
          <cell r="AQ86" t="str">
            <v>GROSS PAYMENTS TO EMBALMERS BY FUNERAL PARLORS</v>
          </cell>
          <cell r="AR86">
            <v>0.01</v>
          </cell>
        </row>
        <row r="87">
          <cell r="AP87" t="str">
            <v>WI535</v>
          </cell>
          <cell r="AQ87" t="str">
            <v>PAYMENTS MADE BY PRE-NEED COMPANIES TO FUNERAL PARLORS</v>
          </cell>
          <cell r="AR87">
            <v>0.01</v>
          </cell>
        </row>
        <row r="88">
          <cell r="AP88" t="str">
            <v>WI540</v>
          </cell>
          <cell r="AQ88" t="str">
            <v>TOLLING FEES PAID TO REFINERIES</v>
          </cell>
          <cell r="AR88">
            <v>0.05</v>
          </cell>
        </row>
        <row r="89">
          <cell r="AP89" t="str">
            <v>WI610</v>
          </cell>
          <cell r="AQ89" t="str">
            <v>INCOME PAYMENTS MADE TO SUPPLIERS OF AGRICULTURAL PRODUCTS IN EXCESS OF CUMULATIVE AMOUNT OF P 300,000 WITHIN THE SAME TAXABLE YEAR</v>
          </cell>
          <cell r="AR89">
            <v>0.01</v>
          </cell>
        </row>
        <row r="90">
          <cell r="AP90" t="str">
            <v>WI630</v>
          </cell>
          <cell r="AQ90" t="str">
            <v>INCOME PAYMENTS ON PURCHASES OF MINERALS, MINERAL PRODUCTS AND QUARRY RESOURCES, SUCH AS BUT NOT LIMITED TO SILVER, GOLD, MARBLE, GRANITE, GRAVEL, SAND, BOULDERS AND OTHER MINERAL PRODUCTS EXCEPT PURCHASES BY BANGKO SENTRAL NG PILIPINAS</v>
          </cell>
          <cell r="AR90">
            <v>0.05</v>
          </cell>
        </row>
        <row r="91">
          <cell r="AP91" t="str">
            <v>WI632</v>
          </cell>
          <cell r="AQ91" t="str">
            <v>INCOME PAYMENTS ON PURCHASES OF MINERALS, MINERAL PRODUCTS AND QUARRY RESOURCES BY BANGKO SENTRAL NG PILIPINAS (BSP) FROM GOLD MINERS/SUPPLIERS UNDER PD 1899, AS AMENDED BY RA NO. 7076</v>
          </cell>
          <cell r="AR91">
            <v>0.01</v>
          </cell>
        </row>
        <row r="92">
          <cell r="AP92" t="str">
            <v>WI640</v>
          </cell>
          <cell r="AQ92" t="str">
            <v>INCOME PAYMENTS MADE BY THE GOVERNMENT AND GOVERNMENT-OWNED AND CONTROLLED CORPORATIONS (GOCCS) TO ITS LOCAL/RESIDENT SUPPLIERS OF GOODS OTHER THAN THOSE COVERED BY OTHER RATES OF WITHHOLDING TAX</v>
          </cell>
          <cell r="AR92">
            <v>0.01</v>
          </cell>
        </row>
        <row r="93">
          <cell r="AP93" t="str">
            <v>WI650</v>
          </cell>
          <cell r="AQ93" t="str">
            <v>ON GROSS AMOUNT OF REFUND GIVEN BY MERALCO TO CUSTOMERS WITH ACTIVE CONTRACTS AS CLASSIFIED BY MERALCO</v>
          </cell>
          <cell r="AR93">
            <v>0.25</v>
          </cell>
        </row>
        <row r="94">
          <cell r="AP94" t="str">
            <v>WI651</v>
          </cell>
          <cell r="AQ94" t="str">
            <v>ON GROSS AMOUNT OF REFUND GIVEN BY MERALCO TO CUSTOMERS WITH TERMINATED CONTRACTS AS CLASSIFIED BY MERALCO</v>
          </cell>
          <cell r="AR94">
            <v>0.32</v>
          </cell>
        </row>
        <row r="95">
          <cell r="AP95" t="str">
            <v>WI660</v>
          </cell>
          <cell r="AQ95" t="e">
            <v>#VALUE!</v>
          </cell>
          <cell r="AR95">
            <v>0.1</v>
          </cell>
        </row>
        <row r="96">
          <cell r="AP96" t="str">
            <v>WI661</v>
          </cell>
          <cell r="AQ96" t="str">
            <v>ON GROSS AMOUNT OF INTEREST ON THE REFUND OF METER DEPOSIT WHETHER PAID DIRECTLY TO THE CUSTOMERS OR APPLIED AGAINST CUSTOMERS BILLINGS OF NON-RESIDENTIAL CUSTOMERS WHOSE MONTHLY ELECTRICITY CONSUMPTION EXCEEDS 200 KWH AS CLASSIFIED BY MERALCO</v>
          </cell>
          <cell r="AR96">
            <v>0.1</v>
          </cell>
        </row>
        <row r="97">
          <cell r="AP97" t="str">
            <v>WI662</v>
          </cell>
          <cell r="AQ97" t="e">
            <v>#VALUE!</v>
          </cell>
          <cell r="AR97">
            <v>0.1</v>
          </cell>
        </row>
        <row r="98">
          <cell r="AP98" t="str">
            <v>WI663</v>
          </cell>
          <cell r="AQ98" t="e">
            <v>#VALUE!</v>
          </cell>
          <cell r="AR98">
            <v>0.2</v>
          </cell>
        </row>
        <row r="99">
          <cell r="AP99" t="str">
            <v>WI680</v>
          </cell>
          <cell r="AQ99" t="e">
            <v>#VALUE!</v>
          </cell>
          <cell r="AR99">
            <v>0.05</v>
          </cell>
        </row>
        <row r="100">
          <cell r="AP100" t="str">
            <v>WI710</v>
          </cell>
          <cell r="AQ100" t="str">
            <v>INTEREST INCOME DERIVED FROM ANY OTHER DEBT INSTRUMENTS NOT WITHIN THE COVERAGE OF DEPOSIT SUBSTITUTES AND REVENUE REGULATIONS NO. 14-2012</v>
          </cell>
          <cell r="AR100">
            <v>0.2</v>
          </cell>
        </row>
        <row r="101">
          <cell r="AP101" t="str">
            <v>WI720</v>
          </cell>
          <cell r="AQ101" t="str">
            <v>INCOME PAYMENTS ON LOCALLY PRODUCED RAW SUGAR</v>
          </cell>
          <cell r="AR101">
            <v>0.01</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BE29D-7A71-4CA0-8960-375E8F4A9B50}">
  <dimension ref="A1:AU111"/>
  <sheetViews>
    <sheetView tabSelected="1" zoomScale="82" workbookViewId="0">
      <selection activeCell="AR36" sqref="AR36"/>
    </sheetView>
  </sheetViews>
  <sheetFormatPr defaultColWidth="9.109375" defaultRowHeight="12"/>
  <cols>
    <col min="1" max="19" width="2.6640625" style="1" customWidth="1"/>
    <col min="20" max="20" width="3.109375" style="1" customWidth="1"/>
    <col min="21" max="40" width="2.6640625" style="1" customWidth="1"/>
    <col min="41" max="41" width="0.88671875" style="1" customWidth="1"/>
    <col min="42" max="42" width="2.6640625" style="1" customWidth="1"/>
    <col min="43" max="43" width="13.6640625" style="2" customWidth="1"/>
    <col min="44" max="45" width="13.6640625" style="3" customWidth="1"/>
    <col min="46" max="46" width="13.6640625" style="1" customWidth="1"/>
    <col min="47" max="47" width="15.6640625" style="1" customWidth="1"/>
    <col min="48" max="16384" width="9.109375" style="1"/>
  </cols>
  <sheetData>
    <row r="1" spans="1:45" ht="6" customHeight="1"/>
    <row r="2" spans="1:45" ht="11.25" customHeight="1">
      <c r="A2" s="4"/>
      <c r="B2" s="4"/>
      <c r="C2" s="4"/>
      <c r="D2" s="4"/>
      <c r="E2" s="4"/>
      <c r="F2" s="4"/>
      <c r="G2" s="4"/>
      <c r="H2" s="5" t="s">
        <v>0</v>
      </c>
      <c r="I2" s="5"/>
      <c r="J2" s="5"/>
      <c r="K2" s="5"/>
      <c r="L2" s="5"/>
      <c r="M2" s="5"/>
      <c r="N2" s="5"/>
      <c r="O2" s="5"/>
      <c r="P2" s="5"/>
      <c r="Q2" s="5"/>
      <c r="R2" s="5"/>
      <c r="S2" s="5"/>
      <c r="T2" s="5"/>
      <c r="U2" s="5"/>
      <c r="V2" s="5"/>
      <c r="W2" s="5"/>
      <c r="X2" s="5"/>
      <c r="Y2" s="5"/>
      <c r="Z2" s="5"/>
      <c r="AA2" s="5"/>
      <c r="AB2" s="5"/>
      <c r="AC2" s="5"/>
      <c r="AD2" s="5"/>
      <c r="AE2" s="5"/>
      <c r="AF2" s="5"/>
      <c r="AG2" s="5"/>
      <c r="AH2" s="6"/>
      <c r="AI2" s="6"/>
      <c r="AJ2" s="6"/>
      <c r="AK2" s="6"/>
      <c r="AL2" s="6"/>
      <c r="AM2" s="6"/>
      <c r="AN2" s="6"/>
      <c r="AO2" s="6"/>
      <c r="AQ2" s="7"/>
    </row>
    <row r="3" spans="1:45" ht="11.25" customHeight="1">
      <c r="A3" s="4"/>
      <c r="B3" s="4"/>
      <c r="C3" s="4"/>
      <c r="D3" s="4"/>
      <c r="E3" s="4"/>
      <c r="F3" s="4"/>
      <c r="G3" s="4"/>
      <c r="H3" s="5" t="s">
        <v>1</v>
      </c>
      <c r="I3" s="5"/>
      <c r="J3" s="5"/>
      <c r="K3" s="5"/>
      <c r="L3" s="5"/>
      <c r="M3" s="5"/>
      <c r="N3" s="5"/>
      <c r="O3" s="5"/>
      <c r="P3" s="5"/>
      <c r="Q3" s="5"/>
      <c r="R3" s="5"/>
      <c r="S3" s="5"/>
      <c r="T3" s="5"/>
      <c r="U3" s="5"/>
      <c r="V3" s="5"/>
      <c r="W3" s="5"/>
      <c r="X3" s="5"/>
      <c r="Y3" s="5"/>
      <c r="Z3" s="5"/>
      <c r="AA3" s="5"/>
      <c r="AB3" s="5"/>
      <c r="AC3" s="5"/>
      <c r="AD3" s="5"/>
      <c r="AE3" s="5"/>
      <c r="AF3" s="5"/>
      <c r="AG3" s="5"/>
      <c r="AH3" s="8"/>
      <c r="AI3" s="8"/>
      <c r="AJ3" s="8"/>
      <c r="AK3" s="8"/>
      <c r="AL3" s="8"/>
      <c r="AM3" s="8"/>
      <c r="AN3" s="8"/>
      <c r="AO3" s="8"/>
      <c r="AQ3" s="9"/>
    </row>
    <row r="4" spans="1:45" ht="13.5" customHeight="1" thickBot="1">
      <c r="A4" s="10"/>
      <c r="B4" s="10"/>
      <c r="C4" s="10"/>
      <c r="D4" s="10"/>
      <c r="E4" s="10"/>
      <c r="F4" s="10"/>
      <c r="G4" s="10"/>
      <c r="H4" s="11" t="s">
        <v>2</v>
      </c>
      <c r="I4" s="11"/>
      <c r="J4" s="11"/>
      <c r="K4" s="11"/>
      <c r="L4" s="11"/>
      <c r="M4" s="11"/>
      <c r="N4" s="11"/>
      <c r="O4" s="11"/>
      <c r="P4" s="11"/>
      <c r="Q4" s="11"/>
      <c r="R4" s="11"/>
      <c r="S4" s="11"/>
      <c r="T4" s="11"/>
      <c r="U4" s="11"/>
      <c r="V4" s="11"/>
      <c r="W4" s="11"/>
      <c r="X4" s="11"/>
      <c r="Y4" s="11"/>
      <c r="Z4" s="11"/>
      <c r="AA4" s="11"/>
      <c r="AB4" s="11"/>
      <c r="AC4" s="11"/>
      <c r="AD4" s="11"/>
      <c r="AE4" s="11"/>
      <c r="AF4" s="11"/>
      <c r="AG4" s="11"/>
      <c r="AH4" s="10"/>
      <c r="AI4" s="10"/>
      <c r="AJ4" s="10"/>
      <c r="AK4" s="10"/>
      <c r="AL4" s="10"/>
      <c r="AM4" s="10"/>
      <c r="AN4" s="10"/>
      <c r="AO4" s="10"/>
    </row>
    <row r="5" spans="1:45" ht="9.75" customHeight="1">
      <c r="A5" s="12"/>
      <c r="B5" s="13"/>
      <c r="C5" s="13"/>
      <c r="D5" s="13"/>
      <c r="E5" s="13"/>
      <c r="F5" s="13"/>
      <c r="G5" s="14"/>
      <c r="H5" s="13"/>
      <c r="I5" s="13"/>
      <c r="J5" s="13"/>
      <c r="K5" s="13"/>
      <c r="L5" s="15" t="s">
        <v>3</v>
      </c>
      <c r="M5" s="15"/>
      <c r="N5" s="15"/>
      <c r="O5" s="15"/>
      <c r="P5" s="15"/>
      <c r="Q5" s="15"/>
      <c r="R5" s="15"/>
      <c r="S5" s="15"/>
      <c r="T5" s="15"/>
      <c r="U5" s="15"/>
      <c r="V5" s="15"/>
      <c r="W5" s="15"/>
      <c r="X5" s="15"/>
      <c r="Y5" s="15"/>
      <c r="Z5" s="15"/>
      <c r="AA5" s="15"/>
      <c r="AB5" s="15"/>
      <c r="AC5" s="13"/>
      <c r="AD5" s="16"/>
      <c r="AE5" s="13"/>
      <c r="AF5" s="13"/>
      <c r="AG5" s="13"/>
      <c r="AH5" s="13"/>
      <c r="AI5" s="13"/>
      <c r="AJ5" s="13"/>
      <c r="AK5" s="13"/>
      <c r="AL5" s="13"/>
      <c r="AM5" s="13"/>
      <c r="AN5" s="13"/>
      <c r="AO5" s="17"/>
    </row>
    <row r="6" spans="1:45" ht="9.75" customHeight="1">
      <c r="A6" s="18"/>
      <c r="B6" s="19"/>
      <c r="C6" s="19"/>
      <c r="D6" s="19"/>
      <c r="E6" s="19"/>
      <c r="F6" s="19"/>
      <c r="G6" s="20"/>
      <c r="H6" s="19"/>
      <c r="I6" s="19"/>
      <c r="J6" s="19"/>
      <c r="K6" s="19"/>
      <c r="L6" s="21"/>
      <c r="M6" s="21"/>
      <c r="N6" s="21"/>
      <c r="O6" s="21"/>
      <c r="P6" s="21"/>
      <c r="Q6" s="21"/>
      <c r="R6" s="21"/>
      <c r="S6" s="21"/>
      <c r="T6" s="21"/>
      <c r="U6" s="21"/>
      <c r="V6" s="21"/>
      <c r="W6" s="21"/>
      <c r="X6" s="21"/>
      <c r="Y6" s="21"/>
      <c r="Z6" s="21"/>
      <c r="AA6" s="21"/>
      <c r="AB6" s="21"/>
      <c r="AC6" s="19"/>
      <c r="AD6" s="22"/>
      <c r="AE6" s="19"/>
      <c r="AF6" s="19"/>
      <c r="AG6" s="19"/>
      <c r="AH6" s="19"/>
      <c r="AI6" s="19"/>
      <c r="AJ6" s="19"/>
      <c r="AK6" s="19"/>
      <c r="AL6" s="19"/>
      <c r="AM6" s="19"/>
      <c r="AN6" s="19"/>
      <c r="AO6" s="23"/>
    </row>
    <row r="7" spans="1:45" ht="9.75" customHeight="1">
      <c r="A7" s="18"/>
      <c r="B7" s="19"/>
      <c r="C7" s="19"/>
      <c r="D7" s="19"/>
      <c r="E7" s="19"/>
      <c r="F7" s="19"/>
      <c r="G7" s="20"/>
      <c r="H7" s="19"/>
      <c r="I7" s="19"/>
      <c r="J7" s="19"/>
      <c r="K7" s="19"/>
      <c r="L7" s="21"/>
      <c r="M7" s="21"/>
      <c r="N7" s="21"/>
      <c r="O7" s="21"/>
      <c r="P7" s="21"/>
      <c r="Q7" s="21"/>
      <c r="R7" s="21"/>
      <c r="S7" s="21"/>
      <c r="T7" s="21"/>
      <c r="U7" s="21"/>
      <c r="V7" s="21"/>
      <c r="W7" s="21"/>
      <c r="X7" s="21"/>
      <c r="Y7" s="21"/>
      <c r="Z7" s="21"/>
      <c r="AA7" s="21"/>
      <c r="AB7" s="21"/>
      <c r="AC7" s="19"/>
      <c r="AD7" s="22"/>
      <c r="AE7" s="19"/>
      <c r="AF7" s="19"/>
      <c r="AG7" s="19"/>
      <c r="AH7" s="19"/>
      <c r="AI7" s="19"/>
      <c r="AJ7" s="19"/>
      <c r="AK7" s="19"/>
      <c r="AL7" s="19"/>
      <c r="AM7" s="19"/>
      <c r="AN7" s="19"/>
      <c r="AO7" s="23"/>
    </row>
    <row r="8" spans="1:45" ht="9.75" customHeight="1">
      <c r="A8" s="18"/>
      <c r="B8" s="19"/>
      <c r="C8" s="19"/>
      <c r="D8" s="19"/>
      <c r="E8" s="19"/>
      <c r="F8" s="19"/>
      <c r="G8" s="20"/>
      <c r="H8" s="19"/>
      <c r="I8" s="19"/>
      <c r="J8" s="19"/>
      <c r="K8" s="19"/>
      <c r="L8" s="21"/>
      <c r="M8" s="21"/>
      <c r="N8" s="21"/>
      <c r="O8" s="21"/>
      <c r="P8" s="21"/>
      <c r="Q8" s="21"/>
      <c r="R8" s="21"/>
      <c r="S8" s="21"/>
      <c r="T8" s="21"/>
      <c r="U8" s="21"/>
      <c r="V8" s="21"/>
      <c r="W8" s="21"/>
      <c r="X8" s="21"/>
      <c r="Y8" s="21"/>
      <c r="Z8" s="21"/>
      <c r="AA8" s="21"/>
      <c r="AB8" s="21"/>
      <c r="AC8" s="19"/>
      <c r="AD8" s="22"/>
      <c r="AE8" s="19"/>
      <c r="AF8" s="19"/>
      <c r="AG8" s="19"/>
      <c r="AH8" s="19"/>
      <c r="AI8" s="19"/>
      <c r="AJ8" s="19"/>
      <c r="AK8" s="19"/>
      <c r="AL8" s="19"/>
      <c r="AM8" s="19"/>
      <c r="AN8" s="19"/>
      <c r="AO8" s="23"/>
    </row>
    <row r="9" spans="1:45" ht="9.75" customHeight="1" thickBot="1">
      <c r="A9" s="24"/>
      <c r="G9" s="25"/>
      <c r="H9" s="26"/>
      <c r="I9" s="27"/>
      <c r="J9" s="27"/>
      <c r="K9" s="27"/>
      <c r="L9" s="28"/>
      <c r="M9" s="28"/>
      <c r="N9" s="28"/>
      <c r="O9" s="28"/>
      <c r="P9" s="28"/>
      <c r="Q9" s="28"/>
      <c r="R9" s="28"/>
      <c r="S9" s="28"/>
      <c r="T9" s="28"/>
      <c r="U9" s="28"/>
      <c r="V9" s="28"/>
      <c r="W9" s="28"/>
      <c r="X9" s="28"/>
      <c r="Y9" s="28"/>
      <c r="Z9" s="28"/>
      <c r="AA9" s="28"/>
      <c r="AB9" s="28"/>
      <c r="AC9" s="29"/>
      <c r="AD9" s="30"/>
      <c r="AO9" s="31"/>
    </row>
    <row r="10" spans="1:45" ht="10.5" customHeight="1" thickBot="1">
      <c r="A10" s="32" t="s">
        <v>4</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4"/>
    </row>
    <row r="11" spans="1:45" s="3" customFormat="1" ht="3" customHeight="1">
      <c r="A11" s="35">
        <v>1</v>
      </c>
      <c r="B11" s="36" t="s">
        <v>5</v>
      </c>
      <c r="C11" s="36"/>
      <c r="D11" s="36"/>
      <c r="E11" s="36"/>
      <c r="F11" s="37"/>
      <c r="G11" s="37"/>
      <c r="H11" s="38" t="s">
        <v>6</v>
      </c>
      <c r="I11" s="38"/>
      <c r="J11" s="37"/>
      <c r="K11" s="37"/>
      <c r="L11" s="37"/>
      <c r="M11" s="37"/>
      <c r="N11" s="37"/>
      <c r="O11" s="37"/>
      <c r="P11" s="37"/>
      <c r="Q11" s="37"/>
      <c r="R11" s="39" t="s">
        <v>7</v>
      </c>
      <c r="S11" s="39"/>
      <c r="T11" s="39"/>
      <c r="U11" s="39"/>
      <c r="V11" s="37"/>
      <c r="W11" s="37"/>
      <c r="X11" s="37"/>
      <c r="Y11" s="36" t="s">
        <v>8</v>
      </c>
      <c r="Z11" s="36"/>
      <c r="AA11" s="37"/>
      <c r="AB11" s="37"/>
      <c r="AC11" s="37"/>
      <c r="AD11" s="37"/>
      <c r="AE11" s="37"/>
      <c r="AF11" s="37"/>
      <c r="AG11" s="37"/>
      <c r="AH11" s="37"/>
      <c r="AI11" s="40" t="s">
        <v>7</v>
      </c>
      <c r="AJ11" s="40"/>
      <c r="AK11" s="40"/>
      <c r="AL11" s="40"/>
      <c r="AM11" s="40"/>
      <c r="AN11" s="40"/>
      <c r="AO11" s="41"/>
      <c r="AP11" s="1"/>
      <c r="AQ11" s="2"/>
    </row>
    <row r="12" spans="1:45" s="3" customFormat="1" ht="5.25" customHeight="1">
      <c r="A12" s="42"/>
      <c r="B12" s="43"/>
      <c r="C12" s="43"/>
      <c r="D12" s="43"/>
      <c r="E12" s="43"/>
      <c r="F12" s="1"/>
      <c r="G12" s="1"/>
      <c r="H12" s="44"/>
      <c r="I12" s="44"/>
      <c r="J12" s="45"/>
      <c r="K12" s="46"/>
      <c r="L12" s="45"/>
      <c r="M12" s="46"/>
      <c r="N12" s="45"/>
      <c r="O12" s="46"/>
      <c r="P12" s="46"/>
      <c r="Q12" s="47"/>
      <c r="R12" s="48"/>
      <c r="S12" s="48"/>
      <c r="T12" s="48"/>
      <c r="U12" s="48"/>
      <c r="V12" s="1"/>
      <c r="W12" s="1"/>
      <c r="X12" s="1"/>
      <c r="Y12" s="43"/>
      <c r="Z12" s="43"/>
      <c r="AA12" s="45"/>
      <c r="AB12" s="46"/>
      <c r="AC12" s="45"/>
      <c r="AD12" s="46"/>
      <c r="AE12" s="45"/>
      <c r="AF12" s="46"/>
      <c r="AG12" s="46"/>
      <c r="AH12" s="47"/>
      <c r="AI12" s="49"/>
      <c r="AJ12" s="49"/>
      <c r="AK12" s="49"/>
      <c r="AL12" s="49"/>
      <c r="AM12" s="49"/>
      <c r="AN12" s="49"/>
      <c r="AO12" s="50"/>
      <c r="AP12" s="1"/>
      <c r="AQ12" s="2"/>
    </row>
    <row r="13" spans="1:45" s="3" customFormat="1" ht="16.350000000000001" customHeight="1" thickBot="1">
      <c r="A13" s="51"/>
      <c r="B13" s="52"/>
      <c r="C13" s="52"/>
      <c r="D13" s="52"/>
      <c r="E13" s="52"/>
      <c r="F13" s="27"/>
      <c r="G13" s="27"/>
      <c r="H13" s="53"/>
      <c r="I13" s="53"/>
      <c r="J13" s="54">
        <v>0</v>
      </c>
      <c r="K13" s="54">
        <v>4</v>
      </c>
      <c r="L13" s="55" t="str">
        <f>MID(AQ13,7,1)</f>
        <v>0</v>
      </c>
      <c r="M13" s="56" t="str">
        <f>MID(AQ13,8,1)</f>
        <v>1</v>
      </c>
      <c r="N13" s="55" t="str">
        <f>MID(AQ13,1,1)</f>
        <v>2</v>
      </c>
      <c r="O13" s="56" t="str">
        <f>MID(AQ13,2,1)</f>
        <v>0</v>
      </c>
      <c r="P13" s="55" t="str">
        <f>MID(AQ13,3,1)</f>
        <v>2</v>
      </c>
      <c r="Q13" s="57">
        <v>6</v>
      </c>
      <c r="R13" s="58"/>
      <c r="S13" s="58"/>
      <c r="T13" s="58"/>
      <c r="U13" s="58"/>
      <c r="V13" s="27"/>
      <c r="W13" s="27"/>
      <c r="X13" s="27"/>
      <c r="Y13" s="52"/>
      <c r="Z13" s="52"/>
      <c r="AA13" s="54">
        <v>0</v>
      </c>
      <c r="AB13" s="54">
        <v>6</v>
      </c>
      <c r="AC13" s="55" t="str">
        <f>MID(AR13,7,1)</f>
        <v>3</v>
      </c>
      <c r="AD13" s="56">
        <v>0</v>
      </c>
      <c r="AE13" s="55" t="str">
        <f>MID(AR13,1,1)</f>
        <v>2</v>
      </c>
      <c r="AF13" s="56" t="str">
        <f>MID(AR13,2,1)</f>
        <v>0</v>
      </c>
      <c r="AG13" s="55" t="str">
        <f>MID(AR13,3,1)</f>
        <v>2</v>
      </c>
      <c r="AH13" s="57">
        <v>6</v>
      </c>
      <c r="AI13" s="59"/>
      <c r="AJ13" s="59"/>
      <c r="AK13" s="59"/>
      <c r="AL13" s="59"/>
      <c r="AM13" s="59"/>
      <c r="AN13" s="59"/>
      <c r="AO13" s="60"/>
      <c r="AP13" s="1"/>
      <c r="AQ13" s="61" t="s">
        <v>9</v>
      </c>
      <c r="AR13" s="61" t="str">
        <f>VLOOKUP(AQ13,[1]Page2!AS1:AT16,2)</f>
        <v>20250930</v>
      </c>
      <c r="AS13" s="62"/>
    </row>
    <row r="14" spans="1:45" s="3" customFormat="1" ht="10.5" customHeight="1" thickBot="1">
      <c r="A14" s="63" t="s">
        <v>10</v>
      </c>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5"/>
      <c r="AP14" s="1"/>
      <c r="AQ14" s="2"/>
    </row>
    <row r="15" spans="1:45" s="3" customFormat="1" ht="3" customHeight="1">
      <c r="A15" s="35">
        <v>2</v>
      </c>
      <c r="B15" s="66" t="s">
        <v>11</v>
      </c>
      <c r="C15" s="66"/>
      <c r="D15" s="66"/>
      <c r="E15" s="66"/>
      <c r="F15" s="66"/>
      <c r="G15" s="66"/>
      <c r="H15" s="66"/>
      <c r="I15" s="66"/>
      <c r="J15" s="66"/>
      <c r="K15" s="66"/>
      <c r="L15" s="66"/>
      <c r="M15" s="66"/>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67"/>
      <c r="AP15" s="1"/>
      <c r="AQ15" s="68"/>
    </row>
    <row r="16" spans="1:45" s="3" customFormat="1" ht="5.25" customHeight="1">
      <c r="A16" s="42"/>
      <c r="B16" s="69"/>
      <c r="C16" s="69"/>
      <c r="D16" s="69"/>
      <c r="E16" s="69"/>
      <c r="F16" s="69"/>
      <c r="G16" s="69"/>
      <c r="H16" s="69"/>
      <c r="I16" s="69"/>
      <c r="J16" s="69"/>
      <c r="K16" s="69"/>
      <c r="L16" s="69"/>
      <c r="M16" s="69"/>
      <c r="N16" s="45"/>
      <c r="O16" s="46"/>
      <c r="P16" s="46"/>
      <c r="Q16" s="70"/>
      <c r="R16" s="45"/>
      <c r="S16" s="46"/>
      <c r="T16" s="46"/>
      <c r="U16" s="70"/>
      <c r="V16" s="45"/>
      <c r="W16" s="46"/>
      <c r="X16" s="46"/>
      <c r="Y16" s="70"/>
      <c r="Z16" s="45"/>
      <c r="AA16" s="46"/>
      <c r="AB16" s="46"/>
      <c r="AC16" s="46"/>
      <c r="AD16" s="47"/>
      <c r="AE16" s="1"/>
      <c r="AF16" s="1"/>
      <c r="AG16" s="1"/>
      <c r="AH16" s="1"/>
      <c r="AI16" s="1"/>
      <c r="AJ16" s="1"/>
      <c r="AK16" s="1"/>
      <c r="AL16" s="1"/>
      <c r="AM16" s="1"/>
      <c r="AN16" s="1"/>
      <c r="AO16" s="31"/>
      <c r="AP16" s="1"/>
      <c r="AQ16" s="68"/>
      <c r="AR16" s="71"/>
    </row>
    <row r="17" spans="1:47" s="3" customFormat="1" ht="16.350000000000001" customHeight="1">
      <c r="A17" s="72"/>
      <c r="B17" s="73"/>
      <c r="C17" s="73"/>
      <c r="D17" s="73"/>
      <c r="E17" s="73"/>
      <c r="F17" s="73"/>
      <c r="G17" s="73"/>
      <c r="H17" s="73"/>
      <c r="I17" s="73"/>
      <c r="J17" s="73"/>
      <c r="K17" s="73"/>
      <c r="L17" s="73"/>
      <c r="M17" s="73"/>
      <c r="N17" s="74">
        <v>0</v>
      </c>
      <c r="O17" s="75">
        <v>0</v>
      </c>
      <c r="P17" s="74">
        <v>9</v>
      </c>
      <c r="Q17" s="76" t="s">
        <v>12</v>
      </c>
      <c r="R17" s="74">
        <v>3</v>
      </c>
      <c r="S17" s="75">
        <v>9</v>
      </c>
      <c r="T17" s="74">
        <v>8</v>
      </c>
      <c r="U17" s="76" t="s">
        <v>12</v>
      </c>
      <c r="V17" s="74">
        <v>8</v>
      </c>
      <c r="W17" s="75">
        <v>1</v>
      </c>
      <c r="X17" s="74">
        <v>6</v>
      </c>
      <c r="Y17" s="76" t="s">
        <v>12</v>
      </c>
      <c r="Z17" s="74">
        <v>0</v>
      </c>
      <c r="AA17" s="75">
        <v>0</v>
      </c>
      <c r="AB17" s="74">
        <v>0</v>
      </c>
      <c r="AC17" s="74">
        <v>0</v>
      </c>
      <c r="AD17" s="74">
        <v>0</v>
      </c>
      <c r="AE17" s="77"/>
      <c r="AF17" s="77"/>
      <c r="AG17" s="77"/>
      <c r="AH17" s="77"/>
      <c r="AI17" s="77"/>
      <c r="AJ17" s="77"/>
      <c r="AK17" s="77"/>
      <c r="AL17" s="77"/>
      <c r="AM17" s="77"/>
      <c r="AN17" s="77"/>
      <c r="AO17" s="78"/>
      <c r="AP17" s="1"/>
      <c r="AQ17" s="68"/>
      <c r="AR17" s="79"/>
    </row>
    <row r="18" spans="1:47" s="3" customFormat="1" ht="10.5" customHeight="1">
      <c r="A18" s="80">
        <v>3</v>
      </c>
      <c r="B18" s="1" t="s">
        <v>13</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31"/>
      <c r="AP18" s="1"/>
      <c r="AQ18" s="2"/>
    </row>
    <row r="19" spans="1:47" s="3" customFormat="1" ht="9.6" customHeight="1">
      <c r="A19" s="81"/>
      <c r="B19" s="82" t="s">
        <v>14</v>
      </c>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4"/>
      <c r="AO19" s="31"/>
      <c r="AP19" s="1"/>
      <c r="AQ19" s="85" t="s">
        <v>15</v>
      </c>
      <c r="AR19" s="85"/>
      <c r="AS19" s="85"/>
      <c r="AT19" s="85"/>
    </row>
    <row r="20" spans="1:47" s="3" customFormat="1" ht="9.6" customHeight="1">
      <c r="A20" s="81"/>
      <c r="B20" s="86"/>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8"/>
      <c r="AO20" s="31"/>
      <c r="AP20" s="1"/>
      <c r="AQ20" s="85"/>
      <c r="AR20" s="85"/>
      <c r="AS20" s="85"/>
      <c r="AT20" s="85"/>
    </row>
    <row r="21" spans="1:47" s="3" customFormat="1" ht="3" customHeight="1">
      <c r="A21" s="8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31"/>
      <c r="AP21" s="1"/>
      <c r="AQ21" s="2"/>
    </row>
    <row r="22" spans="1:47" s="3" customFormat="1" ht="10.5" customHeight="1">
      <c r="A22" s="80">
        <v>4</v>
      </c>
      <c r="B22" s="1" t="s">
        <v>16</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89" t="s">
        <v>17</v>
      </c>
      <c r="AL22" s="1" t="s">
        <v>18</v>
      </c>
      <c r="AM22" s="1"/>
      <c r="AN22" s="1"/>
      <c r="AO22" s="31"/>
      <c r="AP22" s="1"/>
      <c r="AQ22" s="2"/>
    </row>
    <row r="23" spans="1:47" s="3" customFormat="1" ht="3.6" customHeight="1">
      <c r="A23" s="81"/>
      <c r="B23" s="90" t="s">
        <v>19</v>
      </c>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2"/>
      <c r="AJ23" s="1"/>
      <c r="AK23" s="45"/>
      <c r="AL23" s="46"/>
      <c r="AM23" s="46"/>
      <c r="AN23" s="47"/>
      <c r="AO23" s="31"/>
      <c r="AP23" s="1"/>
      <c r="AQ23" s="85" t="str">
        <f>IFERROR(VLOOKUP($AQ$15,#REF!,3,0),"")</f>
        <v/>
      </c>
      <c r="AR23" s="85"/>
      <c r="AS23" s="85"/>
      <c r="AT23" s="85"/>
      <c r="AU23" s="85"/>
    </row>
    <row r="24" spans="1:47" s="3" customFormat="1" ht="7.5" customHeight="1">
      <c r="A24" s="81"/>
      <c r="B24" s="93"/>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95"/>
      <c r="AJ24" s="1"/>
      <c r="AK24" s="96">
        <v>1</v>
      </c>
      <c r="AL24" s="97">
        <v>1</v>
      </c>
      <c r="AM24" s="98">
        <v>0</v>
      </c>
      <c r="AN24" s="97">
        <v>1</v>
      </c>
      <c r="AO24" s="31"/>
      <c r="AP24" s="1"/>
      <c r="AQ24" s="85"/>
      <c r="AR24" s="85"/>
      <c r="AS24" s="85"/>
      <c r="AT24" s="85"/>
      <c r="AU24" s="85"/>
    </row>
    <row r="25" spans="1:47" s="3" customFormat="1" ht="7.5" customHeight="1">
      <c r="A25" s="81"/>
      <c r="B25" s="99"/>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1"/>
      <c r="AJ25" s="1"/>
      <c r="AK25" s="102"/>
      <c r="AL25" s="103"/>
      <c r="AM25" s="104"/>
      <c r="AN25" s="103"/>
      <c r="AO25" s="31"/>
      <c r="AP25" s="1"/>
      <c r="AQ25" s="85"/>
      <c r="AR25" s="85"/>
      <c r="AS25" s="85"/>
      <c r="AT25" s="85"/>
      <c r="AU25" s="85"/>
    </row>
    <row r="26" spans="1:47" s="3" customFormat="1" ht="3" customHeight="1">
      <c r="A26" s="8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31"/>
      <c r="AP26" s="1"/>
      <c r="AQ26" s="2"/>
    </row>
    <row r="27" spans="1:47" s="3" customFormat="1" ht="10.5" customHeight="1">
      <c r="A27" s="80">
        <v>5</v>
      </c>
      <c r="B27" s="1" t="s">
        <v>20</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31"/>
      <c r="AP27" s="1"/>
      <c r="AQ27" s="2"/>
    </row>
    <row r="28" spans="1:47" s="3" customFormat="1" ht="10.5" customHeight="1">
      <c r="A28" s="8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31"/>
      <c r="AP28" s="1"/>
      <c r="AQ28" s="2"/>
    </row>
    <row r="29" spans="1:47" s="3" customFormat="1" ht="10.5" customHeight="1" thickBot="1">
      <c r="A29" s="8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31"/>
      <c r="AP29" s="1"/>
      <c r="AQ29" s="2"/>
    </row>
    <row r="30" spans="1:47" s="3" customFormat="1" ht="10.5" customHeight="1" thickBot="1">
      <c r="A30" s="63" t="s">
        <v>21</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5"/>
      <c r="AP30" s="1"/>
      <c r="AQ30" s="2"/>
    </row>
    <row r="31" spans="1:47" s="3" customFormat="1" ht="3" customHeight="1">
      <c r="A31" s="35">
        <v>6</v>
      </c>
      <c r="B31" s="66" t="s">
        <v>11</v>
      </c>
      <c r="C31" s="66"/>
      <c r="D31" s="66"/>
      <c r="E31" s="66"/>
      <c r="F31" s="66"/>
      <c r="G31" s="66"/>
      <c r="H31" s="66"/>
      <c r="I31" s="66"/>
      <c r="J31" s="66"/>
      <c r="K31" s="66"/>
      <c r="L31" s="66"/>
      <c r="M31" s="66"/>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67"/>
      <c r="AP31" s="1"/>
      <c r="AQ31" s="2"/>
    </row>
    <row r="32" spans="1:47" s="3" customFormat="1" ht="5.25" customHeight="1">
      <c r="A32" s="42"/>
      <c r="B32" s="69"/>
      <c r="C32" s="69"/>
      <c r="D32" s="69"/>
      <c r="E32" s="69"/>
      <c r="F32" s="69"/>
      <c r="G32" s="69"/>
      <c r="H32" s="69"/>
      <c r="I32" s="69"/>
      <c r="J32" s="69"/>
      <c r="K32" s="69"/>
      <c r="L32" s="69"/>
      <c r="M32" s="69"/>
      <c r="N32" s="45"/>
      <c r="O32" s="46"/>
      <c r="P32" s="46"/>
      <c r="Q32" s="70"/>
      <c r="R32" s="45"/>
      <c r="S32" s="46"/>
      <c r="T32" s="46"/>
      <c r="U32" s="70"/>
      <c r="V32" s="45"/>
      <c r="W32" s="46"/>
      <c r="X32" s="46"/>
      <c r="Y32" s="70"/>
      <c r="Z32" s="45"/>
      <c r="AA32" s="46"/>
      <c r="AB32" s="46"/>
      <c r="AC32" s="46"/>
      <c r="AD32" s="47"/>
      <c r="AE32" s="1"/>
      <c r="AF32" s="1"/>
      <c r="AG32" s="1"/>
      <c r="AH32" s="1"/>
      <c r="AI32" s="1"/>
      <c r="AJ32" s="1"/>
      <c r="AK32" s="1"/>
      <c r="AL32" s="1"/>
      <c r="AM32" s="1"/>
      <c r="AN32" s="1"/>
      <c r="AO32" s="31"/>
      <c r="AP32" s="1"/>
      <c r="AQ32" s="2"/>
    </row>
    <row r="33" spans="1:43" s="3" customFormat="1" ht="16.350000000000001" customHeight="1">
      <c r="A33" s="72"/>
      <c r="B33" s="73"/>
      <c r="C33" s="73"/>
      <c r="D33" s="73"/>
      <c r="E33" s="73"/>
      <c r="F33" s="73"/>
      <c r="G33" s="73"/>
      <c r="H33" s="73"/>
      <c r="I33" s="73"/>
      <c r="J33" s="73"/>
      <c r="K33" s="73"/>
      <c r="L33" s="73"/>
      <c r="M33" s="73"/>
      <c r="N33" s="74">
        <v>0</v>
      </c>
      <c r="O33" s="75">
        <v>0</v>
      </c>
      <c r="P33" s="74">
        <v>0</v>
      </c>
      <c r="Q33" s="76" t="s">
        <v>12</v>
      </c>
      <c r="R33" s="74">
        <v>4</v>
      </c>
      <c r="S33" s="75">
        <v>8</v>
      </c>
      <c r="T33" s="74">
        <v>4</v>
      </c>
      <c r="U33" s="76" t="s">
        <v>12</v>
      </c>
      <c r="V33" s="74">
        <v>4</v>
      </c>
      <c r="W33" s="75">
        <v>1</v>
      </c>
      <c r="X33" s="74">
        <v>8</v>
      </c>
      <c r="Y33" s="76" t="s">
        <v>12</v>
      </c>
      <c r="Z33" s="74">
        <v>0</v>
      </c>
      <c r="AA33" s="75">
        <v>0</v>
      </c>
      <c r="AB33" s="74">
        <v>0</v>
      </c>
      <c r="AC33" s="74">
        <v>0</v>
      </c>
      <c r="AD33" s="74">
        <v>0</v>
      </c>
      <c r="AE33" s="77"/>
      <c r="AF33" s="77"/>
      <c r="AG33" s="77"/>
      <c r="AH33" s="77"/>
      <c r="AI33" s="77"/>
      <c r="AJ33" s="77"/>
      <c r="AK33" s="77"/>
      <c r="AL33" s="77"/>
      <c r="AM33" s="77"/>
      <c r="AN33" s="77"/>
      <c r="AO33" s="78"/>
      <c r="AP33" s="1"/>
      <c r="AQ33" s="2"/>
    </row>
    <row r="34" spans="1:43" s="3" customFormat="1" ht="10.5" customHeight="1">
      <c r="A34" s="80">
        <v>7</v>
      </c>
      <c r="B34" s="1" t="s">
        <v>22</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31"/>
      <c r="AP34" s="1"/>
      <c r="AQ34" s="2"/>
    </row>
    <row r="35" spans="1:43" s="3" customFormat="1" ht="9.6" customHeight="1">
      <c r="A35" s="81"/>
      <c r="B35" s="105" t="s">
        <v>23</v>
      </c>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7"/>
      <c r="AO35" s="31"/>
      <c r="AP35" s="1"/>
      <c r="AQ35" s="2"/>
    </row>
    <row r="36" spans="1:43" s="3" customFormat="1" ht="9.6" customHeight="1">
      <c r="A36" s="81"/>
      <c r="B36" s="108"/>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10"/>
      <c r="AO36" s="31"/>
      <c r="AP36" s="1"/>
      <c r="AQ36" s="2"/>
    </row>
    <row r="37" spans="1:43" s="3" customFormat="1" ht="3" customHeight="1">
      <c r="A37" s="8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31"/>
      <c r="AP37" s="1"/>
      <c r="AQ37" s="2"/>
    </row>
    <row r="38" spans="1:43" s="3" customFormat="1" ht="10.5" customHeight="1">
      <c r="A38" s="80">
        <v>8</v>
      </c>
      <c r="B38" s="1" t="s">
        <v>16</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89" t="s">
        <v>24</v>
      </c>
      <c r="AL38" s="1" t="s">
        <v>18</v>
      </c>
      <c r="AM38" s="1"/>
      <c r="AN38" s="1"/>
      <c r="AO38" s="31"/>
      <c r="AP38" s="1"/>
      <c r="AQ38" s="2"/>
    </row>
    <row r="39" spans="1:43" s="3" customFormat="1" ht="3.6" customHeight="1">
      <c r="A39" s="81"/>
      <c r="B39" s="82" t="s">
        <v>25</v>
      </c>
      <c r="C39" s="83"/>
      <c r="D39" s="83"/>
      <c r="E39" s="83"/>
      <c r="F39" s="83"/>
      <c r="G39" s="83"/>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84"/>
      <c r="AJ39" s="1"/>
      <c r="AK39" s="45"/>
      <c r="AL39" s="46"/>
      <c r="AM39" s="46"/>
      <c r="AN39" s="47"/>
      <c r="AO39" s="31"/>
      <c r="AP39" s="1"/>
      <c r="AQ39" s="2"/>
    </row>
    <row r="40" spans="1:43" s="3" customFormat="1" ht="7.5" customHeight="1">
      <c r="A40" s="81"/>
      <c r="B40" s="111"/>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3"/>
      <c r="AJ40" s="1"/>
      <c r="AK40" s="96">
        <v>1</v>
      </c>
      <c r="AL40" s="97">
        <v>2</v>
      </c>
      <c r="AM40" s="98">
        <v>2</v>
      </c>
      <c r="AN40" s="97">
        <v>3</v>
      </c>
      <c r="AO40" s="31"/>
      <c r="AP40" s="1"/>
      <c r="AQ40" s="2"/>
    </row>
    <row r="41" spans="1:43" s="3" customFormat="1" ht="7.5" customHeight="1">
      <c r="A41" s="81"/>
      <c r="B41" s="86"/>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8"/>
      <c r="AJ41" s="1"/>
      <c r="AK41" s="102"/>
      <c r="AL41" s="103"/>
      <c r="AM41" s="104"/>
      <c r="AN41" s="103"/>
      <c r="AO41" s="31"/>
      <c r="AP41" s="1"/>
      <c r="AQ41" s="2"/>
    </row>
    <row r="42" spans="1:43" s="3" customFormat="1" ht="3.6" customHeight="1" thickBot="1">
      <c r="A42" s="80"/>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89"/>
      <c r="AL42" s="1"/>
      <c r="AM42" s="1"/>
      <c r="AN42" s="1"/>
      <c r="AO42" s="31"/>
      <c r="AP42" s="1"/>
      <c r="AQ42" s="2"/>
    </row>
    <row r="43" spans="1:43" s="3" customFormat="1" ht="10.5" customHeight="1" thickBot="1">
      <c r="A43" s="114" t="s">
        <v>26</v>
      </c>
      <c r="B43" s="115"/>
      <c r="C43" s="115"/>
      <c r="D43" s="115"/>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6"/>
      <c r="AP43" s="1"/>
      <c r="AQ43" s="2"/>
    </row>
    <row r="44" spans="1:43" s="3" customFormat="1" ht="10.5" customHeight="1">
      <c r="A44" s="117" t="s">
        <v>27</v>
      </c>
      <c r="B44" s="118"/>
      <c r="C44" s="118"/>
      <c r="D44" s="118"/>
      <c r="E44" s="118"/>
      <c r="F44" s="118"/>
      <c r="G44" s="118"/>
      <c r="H44" s="118"/>
      <c r="I44" s="118"/>
      <c r="J44" s="118"/>
      <c r="K44" s="119"/>
      <c r="L44" s="120" t="s">
        <v>28</v>
      </c>
      <c r="M44" s="118"/>
      <c r="N44" s="119"/>
      <c r="O44" s="121" t="s">
        <v>29</v>
      </c>
      <c r="P44" s="122"/>
      <c r="Q44" s="122"/>
      <c r="R44" s="122"/>
      <c r="S44" s="122"/>
      <c r="T44" s="122"/>
      <c r="U44" s="122"/>
      <c r="V44" s="122"/>
      <c r="W44" s="122"/>
      <c r="X44" s="122"/>
      <c r="Y44" s="122"/>
      <c r="Z44" s="122"/>
      <c r="AA44" s="122"/>
      <c r="AB44" s="122"/>
      <c r="AC44" s="122"/>
      <c r="AD44" s="122"/>
      <c r="AE44" s="122"/>
      <c r="AF44" s="122"/>
      <c r="AG44" s="122"/>
      <c r="AH44" s="123"/>
      <c r="AI44" s="120" t="s">
        <v>30</v>
      </c>
      <c r="AJ44" s="118"/>
      <c r="AK44" s="118"/>
      <c r="AL44" s="118"/>
      <c r="AM44" s="118"/>
      <c r="AN44" s="118"/>
      <c r="AO44" s="124"/>
      <c r="AP44" s="1"/>
      <c r="AQ44" s="2"/>
    </row>
    <row r="45" spans="1:43" s="3" customFormat="1" ht="10.5" customHeight="1">
      <c r="A45" s="125"/>
      <c r="B45" s="126"/>
      <c r="C45" s="126"/>
      <c r="D45" s="126"/>
      <c r="E45" s="126"/>
      <c r="F45" s="126"/>
      <c r="G45" s="126"/>
      <c r="H45" s="126"/>
      <c r="I45" s="126"/>
      <c r="J45" s="126"/>
      <c r="K45" s="127"/>
      <c r="L45" s="128"/>
      <c r="M45" s="126"/>
      <c r="N45" s="127"/>
      <c r="O45" s="129" t="s">
        <v>31</v>
      </c>
      <c r="P45" s="130"/>
      <c r="Q45" s="130"/>
      <c r="R45" s="130"/>
      <c r="S45" s="131"/>
      <c r="T45" s="129" t="s">
        <v>32</v>
      </c>
      <c r="U45" s="130"/>
      <c r="V45" s="130"/>
      <c r="W45" s="130"/>
      <c r="X45" s="131"/>
      <c r="Y45" s="129" t="s">
        <v>33</v>
      </c>
      <c r="Z45" s="130"/>
      <c r="AA45" s="130"/>
      <c r="AB45" s="130"/>
      <c r="AC45" s="131"/>
      <c r="AD45" s="129" t="s">
        <v>34</v>
      </c>
      <c r="AE45" s="130"/>
      <c r="AF45" s="130"/>
      <c r="AG45" s="130"/>
      <c r="AH45" s="131"/>
      <c r="AI45" s="128"/>
      <c r="AJ45" s="126"/>
      <c r="AK45" s="126"/>
      <c r="AL45" s="126"/>
      <c r="AM45" s="126"/>
      <c r="AN45" s="126"/>
      <c r="AO45" s="132"/>
      <c r="AP45" s="1"/>
      <c r="AQ45" s="68" t="s">
        <v>35</v>
      </c>
    </row>
    <row r="46" spans="1:43" s="3" customFormat="1" ht="10.5" customHeight="1">
      <c r="A46" s="133"/>
      <c r="B46" s="134"/>
      <c r="C46" s="134"/>
      <c r="D46" s="134"/>
      <c r="E46" s="134"/>
      <c r="F46" s="134"/>
      <c r="G46" s="134"/>
      <c r="H46" s="134"/>
      <c r="I46" s="134"/>
      <c r="J46" s="134"/>
      <c r="K46" s="135"/>
      <c r="L46" s="136"/>
      <c r="M46" s="134"/>
      <c r="N46" s="135"/>
      <c r="O46" s="136"/>
      <c r="P46" s="134"/>
      <c r="Q46" s="134"/>
      <c r="R46" s="134"/>
      <c r="S46" s="135"/>
      <c r="T46" s="136"/>
      <c r="U46" s="134"/>
      <c r="V46" s="134"/>
      <c r="W46" s="134"/>
      <c r="X46" s="135"/>
      <c r="Y46" s="136"/>
      <c r="Z46" s="134"/>
      <c r="AA46" s="134"/>
      <c r="AB46" s="134"/>
      <c r="AC46" s="135"/>
      <c r="AD46" s="136"/>
      <c r="AE46" s="134"/>
      <c r="AF46" s="134"/>
      <c r="AG46" s="134"/>
      <c r="AH46" s="135"/>
      <c r="AI46" s="136"/>
      <c r="AJ46" s="134"/>
      <c r="AK46" s="134"/>
      <c r="AL46" s="134"/>
      <c r="AM46" s="134"/>
      <c r="AN46" s="134"/>
      <c r="AO46" s="137"/>
      <c r="AP46" s="1"/>
      <c r="AQ46" s="68"/>
    </row>
    <row r="47" spans="1:43" s="3" customFormat="1" ht="15" customHeight="1">
      <c r="A47" s="138" t="str">
        <f>IFERROR(VLOOKUP(L47,[1]Page2!$AP$7:$AR$115,2,0),"")</f>
        <v>INCOME PAYMENT MADE BY TOP WITHHOLDING AGENTS TO THEIR LOCAL/RESIDENT SUPPLIER OF SERVICES OTHER THAN THOSE COVERED BY OTHER RATES OF WITHHOLDING TAX</v>
      </c>
      <c r="B47" s="139"/>
      <c r="C47" s="139"/>
      <c r="D47" s="139"/>
      <c r="E47" s="139"/>
      <c r="F47" s="139"/>
      <c r="G47" s="139"/>
      <c r="H47" s="139"/>
      <c r="I47" s="139"/>
      <c r="J47" s="139"/>
      <c r="K47" s="140"/>
      <c r="L47" s="141" t="s">
        <v>36</v>
      </c>
      <c r="M47" s="142"/>
      <c r="N47" s="143"/>
      <c r="O47" s="144"/>
      <c r="P47" s="145"/>
      <c r="Q47" s="145"/>
      <c r="R47" s="145"/>
      <c r="S47" s="146"/>
      <c r="T47" s="144">
        <v>79091.960000000006</v>
      </c>
      <c r="U47" s="145"/>
      <c r="V47" s="145"/>
      <c r="W47" s="145"/>
      <c r="X47" s="146"/>
      <c r="Y47" s="144"/>
      <c r="Z47" s="145"/>
      <c r="AA47" s="145"/>
      <c r="AB47" s="145"/>
      <c r="AC47" s="146"/>
      <c r="AD47" s="144">
        <f>IFERROR(ROUND(SUM(O47:AC47),2),"")</f>
        <v>79091.960000000006</v>
      </c>
      <c r="AE47" s="145"/>
      <c r="AF47" s="145"/>
      <c r="AG47" s="145"/>
      <c r="AH47" s="146"/>
      <c r="AI47" s="144">
        <f>IFERROR(ROUND(AD47*AQ47,2),"")</f>
        <v>1581.84</v>
      </c>
      <c r="AJ47" s="145"/>
      <c r="AK47" s="145"/>
      <c r="AL47" s="145"/>
      <c r="AM47" s="145"/>
      <c r="AN47" s="145"/>
      <c r="AO47" s="147"/>
      <c r="AP47" s="1"/>
      <c r="AQ47" s="148">
        <v>0.02</v>
      </c>
    </row>
    <row r="48" spans="1:43" s="3" customFormat="1" ht="15" customHeight="1">
      <c r="A48" s="149"/>
      <c r="B48" s="150"/>
      <c r="C48" s="150"/>
      <c r="D48" s="150"/>
      <c r="E48" s="150"/>
      <c r="F48" s="150"/>
      <c r="G48" s="150"/>
      <c r="H48" s="150"/>
      <c r="I48" s="150"/>
      <c r="J48" s="150"/>
      <c r="K48" s="151"/>
      <c r="L48" s="152"/>
      <c r="M48" s="153"/>
      <c r="N48" s="154"/>
      <c r="O48" s="144"/>
      <c r="P48" s="145"/>
      <c r="Q48" s="145"/>
      <c r="R48" s="145"/>
      <c r="S48" s="146"/>
      <c r="T48" s="144"/>
      <c r="U48" s="145"/>
      <c r="V48" s="145"/>
      <c r="W48" s="145"/>
      <c r="X48" s="146"/>
      <c r="Y48" s="144"/>
      <c r="Z48" s="145"/>
      <c r="AA48" s="145"/>
      <c r="AB48" s="145"/>
      <c r="AC48" s="146"/>
      <c r="AD48" s="144"/>
      <c r="AE48" s="145"/>
      <c r="AF48" s="145"/>
      <c r="AG48" s="145"/>
      <c r="AH48" s="146"/>
      <c r="AI48" s="144"/>
      <c r="AJ48" s="145"/>
      <c r="AK48" s="145"/>
      <c r="AL48" s="145"/>
      <c r="AM48" s="145"/>
      <c r="AN48" s="145"/>
      <c r="AO48" s="147"/>
      <c r="AP48" s="1"/>
      <c r="AQ48" s="148"/>
    </row>
    <row r="49" spans="1:46" s="3" customFormat="1" ht="15" customHeight="1">
      <c r="A49" s="149"/>
      <c r="B49" s="150"/>
      <c r="C49" s="150"/>
      <c r="D49" s="150"/>
      <c r="E49" s="150"/>
      <c r="F49" s="150"/>
      <c r="G49" s="150"/>
      <c r="H49" s="150"/>
      <c r="I49" s="150"/>
      <c r="J49" s="150"/>
      <c r="K49" s="151"/>
      <c r="L49" s="152"/>
      <c r="M49" s="153"/>
      <c r="N49" s="154"/>
      <c r="O49" s="144"/>
      <c r="P49" s="145"/>
      <c r="Q49" s="145"/>
      <c r="R49" s="145"/>
      <c r="S49" s="146"/>
      <c r="T49" s="144"/>
      <c r="U49" s="145"/>
      <c r="V49" s="145"/>
      <c r="W49" s="145"/>
      <c r="X49" s="146"/>
      <c r="Y49" s="144"/>
      <c r="Z49" s="145"/>
      <c r="AA49" s="145"/>
      <c r="AB49" s="145"/>
      <c r="AC49" s="146"/>
      <c r="AD49" s="144"/>
      <c r="AE49" s="145"/>
      <c r="AF49" s="145"/>
      <c r="AG49" s="145"/>
      <c r="AH49" s="146"/>
      <c r="AI49" s="144"/>
      <c r="AJ49" s="145"/>
      <c r="AK49" s="145"/>
      <c r="AL49" s="145"/>
      <c r="AM49" s="145"/>
      <c r="AN49" s="145"/>
      <c r="AO49" s="147"/>
      <c r="AP49" s="1"/>
      <c r="AQ49" s="148"/>
    </row>
    <row r="50" spans="1:46" s="3" customFormat="1" ht="15" customHeight="1">
      <c r="A50" s="155"/>
      <c r="B50" s="156"/>
      <c r="C50" s="156"/>
      <c r="D50" s="156"/>
      <c r="E50" s="156"/>
      <c r="F50" s="156"/>
      <c r="G50" s="156"/>
      <c r="H50" s="156"/>
      <c r="I50" s="156"/>
      <c r="J50" s="156"/>
      <c r="K50" s="157"/>
      <c r="L50" s="152"/>
      <c r="M50" s="153"/>
      <c r="N50" s="154"/>
      <c r="O50" s="144"/>
      <c r="P50" s="145"/>
      <c r="Q50" s="145"/>
      <c r="R50" s="145"/>
      <c r="S50" s="146"/>
      <c r="T50" s="144"/>
      <c r="U50" s="145"/>
      <c r="V50" s="145"/>
      <c r="W50" s="145"/>
      <c r="X50" s="146"/>
      <c r="Y50" s="144"/>
      <c r="Z50" s="145"/>
      <c r="AA50" s="145"/>
      <c r="AB50" s="145"/>
      <c r="AC50" s="146"/>
      <c r="AD50" s="144"/>
      <c r="AE50" s="145"/>
      <c r="AF50" s="145"/>
      <c r="AG50" s="145"/>
      <c r="AH50" s="146"/>
      <c r="AI50" s="144"/>
      <c r="AJ50" s="145"/>
      <c r="AK50" s="145"/>
      <c r="AL50" s="145"/>
      <c r="AM50" s="145"/>
      <c r="AN50" s="145"/>
      <c r="AO50" s="147"/>
      <c r="AP50" s="1"/>
      <c r="AQ50" s="148"/>
    </row>
    <row r="51" spans="1:46" s="3" customFormat="1" ht="15" customHeight="1">
      <c r="A51" s="158"/>
      <c r="B51" s="159"/>
      <c r="C51" s="159"/>
      <c r="D51" s="159"/>
      <c r="E51" s="159"/>
      <c r="F51" s="159"/>
      <c r="G51" s="159"/>
      <c r="H51" s="159"/>
      <c r="I51" s="159"/>
      <c r="J51" s="159"/>
      <c r="K51" s="160"/>
      <c r="L51" s="152"/>
      <c r="M51" s="153"/>
      <c r="N51" s="154"/>
      <c r="O51" s="144"/>
      <c r="P51" s="145"/>
      <c r="Q51" s="145"/>
      <c r="R51" s="145"/>
      <c r="S51" s="146"/>
      <c r="T51" s="144"/>
      <c r="U51" s="145"/>
      <c r="V51" s="145"/>
      <c r="W51" s="145"/>
      <c r="X51" s="146"/>
      <c r="Y51" s="144"/>
      <c r="Z51" s="145"/>
      <c r="AA51" s="145"/>
      <c r="AB51" s="145"/>
      <c r="AC51" s="146"/>
      <c r="AD51" s="144"/>
      <c r="AE51" s="145"/>
      <c r="AF51" s="145"/>
      <c r="AG51" s="145"/>
      <c r="AH51" s="146"/>
      <c r="AI51" s="144"/>
      <c r="AJ51" s="145"/>
      <c r="AK51" s="145"/>
      <c r="AL51" s="145"/>
      <c r="AM51" s="145"/>
      <c r="AN51" s="145"/>
      <c r="AO51" s="147"/>
      <c r="AP51" s="1"/>
      <c r="AQ51" s="148"/>
    </row>
    <row r="52" spans="1:46" s="3" customFormat="1" ht="15" customHeight="1">
      <c r="A52" s="158"/>
      <c r="B52" s="159"/>
      <c r="C52" s="159"/>
      <c r="D52" s="159"/>
      <c r="E52" s="159"/>
      <c r="F52" s="159"/>
      <c r="G52" s="159"/>
      <c r="H52" s="159"/>
      <c r="I52" s="159"/>
      <c r="J52" s="159"/>
      <c r="K52" s="160"/>
      <c r="L52" s="152"/>
      <c r="M52" s="153"/>
      <c r="N52" s="154"/>
      <c r="O52" s="144"/>
      <c r="P52" s="145"/>
      <c r="Q52" s="145"/>
      <c r="R52" s="145"/>
      <c r="S52" s="146"/>
      <c r="T52" s="144"/>
      <c r="U52" s="145"/>
      <c r="V52" s="145"/>
      <c r="W52" s="145"/>
      <c r="X52" s="146"/>
      <c r="Y52" s="144"/>
      <c r="Z52" s="145"/>
      <c r="AA52" s="145"/>
      <c r="AB52" s="145"/>
      <c r="AC52" s="146"/>
      <c r="AD52" s="144"/>
      <c r="AE52" s="145"/>
      <c r="AF52" s="145"/>
      <c r="AG52" s="145"/>
      <c r="AH52" s="146"/>
      <c r="AI52" s="144"/>
      <c r="AJ52" s="145"/>
      <c r="AK52" s="145"/>
      <c r="AL52" s="145"/>
      <c r="AM52" s="145"/>
      <c r="AN52" s="145"/>
      <c r="AO52" s="147"/>
      <c r="AP52" s="1"/>
      <c r="AQ52" s="148"/>
    </row>
    <row r="53" spans="1:46" s="3" customFormat="1" ht="15" customHeight="1">
      <c r="A53" s="158"/>
      <c r="B53" s="159"/>
      <c r="C53" s="159"/>
      <c r="D53" s="159"/>
      <c r="E53" s="159"/>
      <c r="F53" s="159"/>
      <c r="G53" s="159"/>
      <c r="H53" s="159"/>
      <c r="I53" s="159"/>
      <c r="J53" s="159"/>
      <c r="K53" s="160"/>
      <c r="L53" s="152"/>
      <c r="M53" s="153"/>
      <c r="N53" s="154"/>
      <c r="O53" s="144"/>
      <c r="P53" s="145"/>
      <c r="Q53" s="145"/>
      <c r="R53" s="145"/>
      <c r="S53" s="146"/>
      <c r="T53" s="144"/>
      <c r="U53" s="145"/>
      <c r="V53" s="145"/>
      <c r="W53" s="145"/>
      <c r="X53" s="146"/>
      <c r="Y53" s="144"/>
      <c r="Z53" s="145"/>
      <c r="AA53" s="145"/>
      <c r="AB53" s="145"/>
      <c r="AC53" s="146"/>
      <c r="AD53" s="144"/>
      <c r="AE53" s="145"/>
      <c r="AF53" s="145"/>
      <c r="AG53" s="145"/>
      <c r="AH53" s="146"/>
      <c r="AI53" s="144"/>
      <c r="AJ53" s="145"/>
      <c r="AK53" s="145"/>
      <c r="AL53" s="145"/>
      <c r="AM53" s="145"/>
      <c r="AN53" s="145"/>
      <c r="AO53" s="147"/>
      <c r="AP53" s="1"/>
      <c r="AQ53" s="148"/>
      <c r="AT53" s="3">
        <f>5000-2016</f>
        <v>2984</v>
      </c>
    </row>
    <row r="54" spans="1:46" s="3" customFormat="1" ht="15" customHeight="1">
      <c r="A54" s="158"/>
      <c r="B54" s="159"/>
      <c r="C54" s="159"/>
      <c r="D54" s="161"/>
      <c r="E54" s="161"/>
      <c r="F54" s="159"/>
      <c r="G54" s="159"/>
      <c r="H54" s="159"/>
      <c r="I54" s="159"/>
      <c r="J54" s="159"/>
      <c r="K54" s="160"/>
      <c r="L54" s="152"/>
      <c r="M54" s="153"/>
      <c r="N54" s="154"/>
      <c r="O54" s="144"/>
      <c r="P54" s="145"/>
      <c r="Q54" s="145"/>
      <c r="R54" s="145"/>
      <c r="S54" s="146"/>
      <c r="T54" s="144"/>
      <c r="U54" s="145"/>
      <c r="V54" s="145"/>
      <c r="W54" s="145"/>
      <c r="X54" s="146"/>
      <c r="Y54" s="144"/>
      <c r="Z54" s="145"/>
      <c r="AA54" s="145"/>
      <c r="AB54" s="145"/>
      <c r="AC54" s="146"/>
      <c r="AD54" s="144"/>
      <c r="AE54" s="145"/>
      <c r="AF54" s="145"/>
      <c r="AG54" s="145"/>
      <c r="AH54" s="146"/>
      <c r="AI54" s="144"/>
      <c r="AJ54" s="145"/>
      <c r="AK54" s="145"/>
      <c r="AL54" s="145"/>
      <c r="AM54" s="145"/>
      <c r="AN54" s="145"/>
      <c r="AO54" s="147"/>
      <c r="AP54" s="1"/>
      <c r="AQ54" s="148"/>
    </row>
    <row r="55" spans="1:46" s="3" customFormat="1" ht="15" customHeight="1">
      <c r="A55" s="158"/>
      <c r="B55" s="159"/>
      <c r="C55" s="159"/>
      <c r="D55" s="161"/>
      <c r="E55" s="161"/>
      <c r="F55" s="159"/>
      <c r="G55" s="159"/>
      <c r="H55" s="159"/>
      <c r="I55" s="159"/>
      <c r="J55" s="159"/>
      <c r="K55" s="160"/>
      <c r="L55" s="152"/>
      <c r="M55" s="153"/>
      <c r="N55" s="154"/>
      <c r="O55" s="144"/>
      <c r="P55" s="145"/>
      <c r="Q55" s="145"/>
      <c r="R55" s="145"/>
      <c r="S55" s="146"/>
      <c r="T55" s="144"/>
      <c r="U55" s="145"/>
      <c r="V55" s="145"/>
      <c r="W55" s="145"/>
      <c r="X55" s="146"/>
      <c r="Y55" s="144"/>
      <c r="Z55" s="145"/>
      <c r="AA55" s="145"/>
      <c r="AB55" s="145"/>
      <c r="AC55" s="146"/>
      <c r="AD55" s="144"/>
      <c r="AE55" s="145"/>
      <c r="AF55" s="145"/>
      <c r="AG55" s="145"/>
      <c r="AH55" s="146"/>
      <c r="AI55" s="144"/>
      <c r="AJ55" s="145"/>
      <c r="AK55" s="145"/>
      <c r="AL55" s="145"/>
      <c r="AM55" s="145"/>
      <c r="AN55" s="145"/>
      <c r="AO55" s="147"/>
      <c r="AP55" s="1"/>
      <c r="AQ55" s="148"/>
    </row>
    <row r="56" spans="1:46" s="3" customFormat="1" ht="15" customHeight="1">
      <c r="A56" s="158"/>
      <c r="B56" s="159"/>
      <c r="C56" s="159"/>
      <c r="D56" s="159"/>
      <c r="E56" s="159"/>
      <c r="F56" s="159"/>
      <c r="G56" s="159"/>
      <c r="H56" s="159"/>
      <c r="I56" s="159"/>
      <c r="J56" s="159"/>
      <c r="K56" s="160"/>
      <c r="L56" s="152"/>
      <c r="M56" s="153"/>
      <c r="N56" s="154"/>
      <c r="O56" s="144"/>
      <c r="P56" s="145"/>
      <c r="Q56" s="145"/>
      <c r="R56" s="145"/>
      <c r="S56" s="146"/>
      <c r="T56" s="144"/>
      <c r="U56" s="145"/>
      <c r="V56" s="145"/>
      <c r="W56" s="145"/>
      <c r="X56" s="146"/>
      <c r="Y56" s="144"/>
      <c r="Z56" s="145"/>
      <c r="AA56" s="145"/>
      <c r="AB56" s="145"/>
      <c r="AC56" s="146"/>
      <c r="AD56" s="144"/>
      <c r="AE56" s="145"/>
      <c r="AF56" s="145"/>
      <c r="AG56" s="145"/>
      <c r="AH56" s="146"/>
      <c r="AI56" s="144"/>
      <c r="AJ56" s="145"/>
      <c r="AK56" s="145"/>
      <c r="AL56" s="145"/>
      <c r="AM56" s="145"/>
      <c r="AN56" s="145"/>
      <c r="AO56" s="147"/>
      <c r="AP56" s="1"/>
      <c r="AQ56" s="148"/>
    </row>
    <row r="57" spans="1:46" s="3" customFormat="1" ht="15" customHeight="1">
      <c r="A57" s="158"/>
      <c r="B57" s="161"/>
      <c r="C57" s="161"/>
      <c r="D57" s="161"/>
      <c r="E57" s="161"/>
      <c r="F57" s="161"/>
      <c r="G57" s="161"/>
      <c r="H57" s="161"/>
      <c r="I57" s="161"/>
      <c r="J57" s="161"/>
      <c r="K57" s="162"/>
      <c r="L57" s="152"/>
      <c r="M57" s="153"/>
      <c r="N57" s="154"/>
      <c r="O57" s="144"/>
      <c r="P57" s="145"/>
      <c r="Q57" s="145"/>
      <c r="R57" s="145"/>
      <c r="S57" s="146"/>
      <c r="T57" s="144"/>
      <c r="U57" s="145"/>
      <c r="V57" s="145"/>
      <c r="W57" s="145"/>
      <c r="X57" s="146"/>
      <c r="Y57" s="144"/>
      <c r="Z57" s="145"/>
      <c r="AA57" s="145"/>
      <c r="AB57" s="145"/>
      <c r="AC57" s="146"/>
      <c r="AD57" s="144"/>
      <c r="AE57" s="145"/>
      <c r="AF57" s="145"/>
      <c r="AG57" s="145"/>
      <c r="AH57" s="146"/>
      <c r="AI57" s="144"/>
      <c r="AJ57" s="145"/>
      <c r="AK57" s="145"/>
      <c r="AL57" s="145"/>
      <c r="AM57" s="145"/>
      <c r="AN57" s="145"/>
      <c r="AO57" s="147"/>
      <c r="AP57" s="1"/>
      <c r="AQ57" s="148"/>
    </row>
    <row r="58" spans="1:46" s="3" customFormat="1" ht="15" customHeight="1">
      <c r="A58" s="158"/>
      <c r="B58" s="161"/>
      <c r="C58" s="161"/>
      <c r="D58" s="161"/>
      <c r="E58" s="161"/>
      <c r="F58" s="161"/>
      <c r="G58" s="161"/>
      <c r="H58" s="161"/>
      <c r="I58" s="161"/>
      <c r="J58" s="161"/>
      <c r="K58" s="162"/>
      <c r="L58" s="152"/>
      <c r="M58" s="153"/>
      <c r="N58" s="154"/>
      <c r="O58" s="144"/>
      <c r="P58" s="145"/>
      <c r="Q58" s="145"/>
      <c r="R58" s="145"/>
      <c r="S58" s="146"/>
      <c r="T58" s="144"/>
      <c r="U58" s="145"/>
      <c r="V58" s="145"/>
      <c r="W58" s="145"/>
      <c r="X58" s="146"/>
      <c r="Y58" s="144"/>
      <c r="Z58" s="145"/>
      <c r="AA58" s="145"/>
      <c r="AB58" s="145"/>
      <c r="AC58" s="146"/>
      <c r="AD58" s="144"/>
      <c r="AE58" s="145"/>
      <c r="AF58" s="145"/>
      <c r="AG58" s="145"/>
      <c r="AH58" s="146"/>
      <c r="AI58" s="144"/>
      <c r="AJ58" s="145"/>
      <c r="AK58" s="145"/>
      <c r="AL58" s="145"/>
      <c r="AM58" s="145"/>
      <c r="AN58" s="145"/>
      <c r="AO58" s="147"/>
      <c r="AP58" s="1"/>
      <c r="AQ58" s="148"/>
    </row>
    <row r="59" spans="1:46" s="3" customFormat="1" ht="15" customHeight="1">
      <c r="A59" s="163" t="s">
        <v>34</v>
      </c>
      <c r="B59" s="164"/>
      <c r="C59" s="164"/>
      <c r="D59" s="164"/>
      <c r="E59" s="164"/>
      <c r="F59" s="164"/>
      <c r="G59" s="164"/>
      <c r="H59" s="164"/>
      <c r="I59" s="164"/>
      <c r="J59" s="164"/>
      <c r="K59" s="165"/>
      <c r="L59" s="166"/>
      <c r="M59" s="167"/>
      <c r="N59" s="168"/>
      <c r="O59" s="169">
        <f>SUM(O47:S58)</f>
        <v>0</v>
      </c>
      <c r="P59" s="170"/>
      <c r="Q59" s="170"/>
      <c r="R59" s="170"/>
      <c r="S59" s="171"/>
      <c r="T59" s="169">
        <f>SUM(T47:X58)</f>
        <v>79091.960000000006</v>
      </c>
      <c r="U59" s="170"/>
      <c r="V59" s="170"/>
      <c r="W59" s="170"/>
      <c r="X59" s="171"/>
      <c r="Y59" s="169">
        <f>SUM(Y47:AC58)</f>
        <v>0</v>
      </c>
      <c r="Z59" s="170"/>
      <c r="AA59" s="170"/>
      <c r="AB59" s="170"/>
      <c r="AC59" s="171"/>
      <c r="AD59" s="169">
        <f>SUM(AD47:AH58)</f>
        <v>79091.960000000006</v>
      </c>
      <c r="AE59" s="170"/>
      <c r="AF59" s="170"/>
      <c r="AG59" s="170"/>
      <c r="AH59" s="171"/>
      <c r="AI59" s="169">
        <f>SUM(AI47:AO58)</f>
        <v>1581.84</v>
      </c>
      <c r="AJ59" s="170"/>
      <c r="AK59" s="170"/>
      <c r="AL59" s="170"/>
      <c r="AM59" s="170"/>
      <c r="AN59" s="170"/>
      <c r="AO59" s="172"/>
      <c r="AP59" s="1"/>
      <c r="AQ59" s="173"/>
    </row>
    <row r="60" spans="1:46" s="3" customFormat="1" ht="10.5" customHeight="1">
      <c r="A60" s="174" t="s">
        <v>37</v>
      </c>
      <c r="B60" s="130"/>
      <c r="C60" s="130"/>
      <c r="D60" s="130"/>
      <c r="E60" s="130"/>
      <c r="F60" s="130"/>
      <c r="G60" s="130"/>
      <c r="H60" s="130"/>
      <c r="I60" s="130"/>
      <c r="J60" s="130"/>
      <c r="K60" s="131"/>
      <c r="L60" s="45"/>
      <c r="M60" s="46"/>
      <c r="N60" s="47"/>
      <c r="O60" s="45"/>
      <c r="P60" s="46"/>
      <c r="Q60" s="46"/>
      <c r="R60" s="46"/>
      <c r="S60" s="47"/>
      <c r="T60" s="45"/>
      <c r="U60" s="46"/>
      <c r="V60" s="46"/>
      <c r="W60" s="46"/>
      <c r="X60" s="47"/>
      <c r="Y60" s="45"/>
      <c r="Z60" s="46"/>
      <c r="AA60" s="46"/>
      <c r="AB60" s="46"/>
      <c r="AC60" s="47"/>
      <c r="AD60" s="45"/>
      <c r="AE60" s="46"/>
      <c r="AF60" s="46"/>
      <c r="AG60" s="46"/>
      <c r="AH60" s="47"/>
      <c r="AI60" s="45"/>
      <c r="AJ60" s="46"/>
      <c r="AK60" s="46"/>
      <c r="AL60" s="46"/>
      <c r="AM60" s="46"/>
      <c r="AN60" s="46"/>
      <c r="AO60" s="175"/>
      <c r="AP60" s="1"/>
      <c r="AQ60" s="2"/>
    </row>
    <row r="61" spans="1:46" s="3" customFormat="1" ht="10.5" customHeight="1">
      <c r="A61" s="133"/>
      <c r="B61" s="134"/>
      <c r="C61" s="134"/>
      <c r="D61" s="134"/>
      <c r="E61" s="134"/>
      <c r="F61" s="134"/>
      <c r="G61" s="134"/>
      <c r="H61" s="134"/>
      <c r="I61" s="134"/>
      <c r="J61" s="134"/>
      <c r="K61" s="135"/>
      <c r="L61" s="176"/>
      <c r="M61" s="77"/>
      <c r="N61" s="177"/>
      <c r="O61" s="176"/>
      <c r="P61" s="77"/>
      <c r="Q61" s="77"/>
      <c r="R61" s="77"/>
      <c r="S61" s="177"/>
      <c r="T61" s="176"/>
      <c r="U61" s="77"/>
      <c r="V61" s="77"/>
      <c r="W61" s="77"/>
      <c r="X61" s="177"/>
      <c r="Y61" s="176"/>
      <c r="Z61" s="77"/>
      <c r="AA61" s="77"/>
      <c r="AB61" s="77"/>
      <c r="AC61" s="177"/>
      <c r="AD61" s="176"/>
      <c r="AE61" s="77"/>
      <c r="AF61" s="77"/>
      <c r="AG61" s="77"/>
      <c r="AH61" s="177"/>
      <c r="AI61" s="176"/>
      <c r="AJ61" s="77"/>
      <c r="AK61" s="77"/>
      <c r="AL61" s="77"/>
      <c r="AM61" s="77"/>
      <c r="AN61" s="77"/>
      <c r="AO61" s="78"/>
      <c r="AP61" s="1"/>
      <c r="AQ61" s="2"/>
    </row>
    <row r="62" spans="1:46" s="3" customFormat="1" ht="15" customHeight="1">
      <c r="A62" s="178"/>
      <c r="B62" s="179"/>
      <c r="C62" s="179"/>
      <c r="D62" s="179"/>
      <c r="E62" s="179"/>
      <c r="F62" s="179"/>
      <c r="G62" s="179"/>
      <c r="H62" s="179"/>
      <c r="I62" s="179"/>
      <c r="J62" s="179"/>
      <c r="K62" s="180"/>
      <c r="L62" s="166"/>
      <c r="M62" s="167"/>
      <c r="N62" s="168"/>
      <c r="O62" s="166"/>
      <c r="P62" s="167"/>
      <c r="Q62" s="167"/>
      <c r="R62" s="167"/>
      <c r="S62" s="168"/>
      <c r="T62" s="166"/>
      <c r="U62" s="167"/>
      <c r="V62" s="167"/>
      <c r="W62" s="167"/>
      <c r="X62" s="168"/>
      <c r="Y62" s="166"/>
      <c r="Z62" s="167"/>
      <c r="AA62" s="167"/>
      <c r="AB62" s="167"/>
      <c r="AC62" s="168"/>
      <c r="AD62" s="166"/>
      <c r="AE62" s="167"/>
      <c r="AF62" s="167"/>
      <c r="AG62" s="167"/>
      <c r="AH62" s="168"/>
      <c r="AI62" s="166"/>
      <c r="AJ62" s="167"/>
      <c r="AK62" s="167"/>
      <c r="AL62" s="167"/>
      <c r="AM62" s="167"/>
      <c r="AN62" s="167"/>
      <c r="AO62" s="181"/>
      <c r="AP62" s="1"/>
      <c r="AQ62" s="2"/>
    </row>
    <row r="63" spans="1:46" s="3" customFormat="1" ht="15" customHeight="1">
      <c r="A63" s="178"/>
      <c r="B63" s="179"/>
      <c r="C63" s="179"/>
      <c r="D63" s="179"/>
      <c r="E63" s="179"/>
      <c r="F63" s="179"/>
      <c r="G63" s="179"/>
      <c r="H63" s="179"/>
      <c r="I63" s="179"/>
      <c r="J63" s="179"/>
      <c r="K63" s="180"/>
      <c r="L63" s="166"/>
      <c r="M63" s="167"/>
      <c r="N63" s="168"/>
      <c r="O63" s="166"/>
      <c r="P63" s="167"/>
      <c r="Q63" s="167"/>
      <c r="R63" s="167"/>
      <c r="S63" s="168"/>
      <c r="T63" s="166"/>
      <c r="U63" s="167"/>
      <c r="V63" s="167"/>
      <c r="W63" s="167"/>
      <c r="X63" s="168"/>
      <c r="Y63" s="166"/>
      <c r="Z63" s="167"/>
      <c r="AA63" s="167"/>
      <c r="AB63" s="167"/>
      <c r="AC63" s="168"/>
      <c r="AD63" s="166"/>
      <c r="AE63" s="167"/>
      <c r="AF63" s="167"/>
      <c r="AG63" s="167"/>
      <c r="AH63" s="168"/>
      <c r="AI63" s="166"/>
      <c r="AJ63" s="167"/>
      <c r="AK63" s="167"/>
      <c r="AL63" s="167"/>
      <c r="AM63" s="167"/>
      <c r="AN63" s="167"/>
      <c r="AO63" s="181"/>
      <c r="AP63" s="1"/>
      <c r="AQ63" s="2"/>
    </row>
    <row r="64" spans="1:46" s="3" customFormat="1" ht="15" customHeight="1">
      <c r="A64" s="178"/>
      <c r="B64" s="179"/>
      <c r="C64" s="179"/>
      <c r="D64" s="179"/>
      <c r="E64" s="179"/>
      <c r="F64" s="179"/>
      <c r="G64" s="179"/>
      <c r="H64" s="179"/>
      <c r="I64" s="179"/>
      <c r="J64" s="179"/>
      <c r="K64" s="180"/>
      <c r="L64" s="166"/>
      <c r="M64" s="167"/>
      <c r="N64" s="168"/>
      <c r="O64" s="166"/>
      <c r="P64" s="167"/>
      <c r="Q64" s="167"/>
      <c r="R64" s="167"/>
      <c r="S64" s="168"/>
      <c r="T64" s="166"/>
      <c r="U64" s="167"/>
      <c r="V64" s="167"/>
      <c r="W64" s="167"/>
      <c r="X64" s="168"/>
      <c r="Y64" s="166"/>
      <c r="Z64" s="167"/>
      <c r="AA64" s="167"/>
      <c r="AB64" s="167"/>
      <c r="AC64" s="168"/>
      <c r="AD64" s="166"/>
      <c r="AE64" s="167"/>
      <c r="AF64" s="167"/>
      <c r="AG64" s="167"/>
      <c r="AH64" s="168"/>
      <c r="AI64" s="166"/>
      <c r="AJ64" s="167"/>
      <c r="AK64" s="167"/>
      <c r="AL64" s="167"/>
      <c r="AM64" s="167"/>
      <c r="AN64" s="167"/>
      <c r="AO64" s="181"/>
      <c r="AP64" s="1"/>
      <c r="AQ64" s="2"/>
    </row>
    <row r="65" spans="1:43" s="3" customFormat="1" ht="15" customHeight="1">
      <c r="A65" s="163" t="s">
        <v>34</v>
      </c>
      <c r="B65" s="164"/>
      <c r="C65" s="164"/>
      <c r="D65" s="164"/>
      <c r="E65" s="164"/>
      <c r="F65" s="164"/>
      <c r="G65" s="164"/>
      <c r="H65" s="164"/>
      <c r="I65" s="164"/>
      <c r="J65" s="164"/>
      <c r="K65" s="165"/>
      <c r="L65" s="166"/>
      <c r="M65" s="167"/>
      <c r="N65" s="168"/>
      <c r="O65" s="166"/>
      <c r="P65" s="167"/>
      <c r="Q65" s="167"/>
      <c r="R65" s="167"/>
      <c r="S65" s="168"/>
      <c r="T65" s="166"/>
      <c r="U65" s="167"/>
      <c r="V65" s="167"/>
      <c r="W65" s="167"/>
      <c r="X65" s="168"/>
      <c r="Y65" s="166"/>
      <c r="Z65" s="167"/>
      <c r="AA65" s="167"/>
      <c r="AB65" s="167"/>
      <c r="AC65" s="168"/>
      <c r="AD65" s="166"/>
      <c r="AE65" s="167"/>
      <c r="AF65" s="167"/>
      <c r="AG65" s="167"/>
      <c r="AH65" s="168"/>
      <c r="AI65" s="166"/>
      <c r="AJ65" s="167"/>
      <c r="AK65" s="167"/>
      <c r="AL65" s="167"/>
      <c r="AM65" s="167"/>
      <c r="AN65" s="167"/>
      <c r="AO65" s="181"/>
      <c r="AP65" s="1"/>
      <c r="AQ65" s="2"/>
    </row>
    <row r="66" spans="1:43" s="3" customFormat="1" ht="40.5" customHeight="1">
      <c r="A66" s="182" t="s">
        <v>38</v>
      </c>
      <c r="B66" s="183"/>
      <c r="C66" s="183"/>
      <c r="D66" s="183"/>
      <c r="E66" s="183"/>
      <c r="F66" s="183"/>
      <c r="G66" s="183"/>
      <c r="H66" s="183"/>
      <c r="I66" s="183"/>
      <c r="J66" s="183"/>
      <c r="K66" s="183"/>
      <c r="L66" s="183"/>
      <c r="M66" s="183"/>
      <c r="N66" s="183"/>
      <c r="O66" s="183"/>
      <c r="P66" s="183"/>
      <c r="Q66" s="183"/>
      <c r="R66" s="183"/>
      <c r="S66" s="183"/>
      <c r="T66" s="183"/>
      <c r="U66" s="183"/>
      <c r="V66" s="183"/>
      <c r="W66" s="183"/>
      <c r="X66" s="183"/>
      <c r="Y66" s="183"/>
      <c r="Z66" s="183"/>
      <c r="AA66" s="183"/>
      <c r="AB66" s="183"/>
      <c r="AC66" s="183"/>
      <c r="AD66" s="183"/>
      <c r="AE66" s="183"/>
      <c r="AF66" s="183"/>
      <c r="AG66" s="183"/>
      <c r="AH66" s="183"/>
      <c r="AI66" s="183"/>
      <c r="AJ66" s="183"/>
      <c r="AK66" s="183"/>
      <c r="AL66" s="183"/>
      <c r="AM66" s="183"/>
      <c r="AN66" s="183"/>
      <c r="AO66" s="184"/>
      <c r="AP66" s="1"/>
      <c r="AQ66" s="2"/>
    </row>
    <row r="67" spans="1:43" s="3" customFormat="1" ht="10.5" customHeight="1">
      <c r="A67" s="185" t="s">
        <v>39</v>
      </c>
      <c r="B67" s="186"/>
      <c r="C67" s="186"/>
      <c r="D67" s="186"/>
      <c r="E67" s="186"/>
      <c r="F67" s="186"/>
      <c r="G67" s="186"/>
      <c r="H67" s="186"/>
      <c r="I67" s="186"/>
      <c r="J67" s="186"/>
      <c r="K67" s="186"/>
      <c r="L67" s="186"/>
      <c r="M67" s="186"/>
      <c r="N67" s="186"/>
      <c r="O67" s="186"/>
      <c r="P67" s="186"/>
      <c r="Q67" s="186"/>
      <c r="R67" s="186"/>
      <c r="S67" s="186"/>
      <c r="T67" s="186"/>
      <c r="U67" s="186"/>
      <c r="V67" s="186"/>
      <c r="W67" s="186"/>
      <c r="X67" s="186"/>
      <c r="Y67" s="186"/>
      <c r="Z67" s="186"/>
      <c r="AA67" s="186"/>
      <c r="AB67" s="186"/>
      <c r="AC67" s="186"/>
      <c r="AD67" s="186"/>
      <c r="AE67" s="186"/>
      <c r="AF67" s="186"/>
      <c r="AG67" s="186"/>
      <c r="AH67" s="186"/>
      <c r="AI67" s="186"/>
      <c r="AJ67" s="186"/>
      <c r="AK67" s="186"/>
      <c r="AL67" s="186"/>
      <c r="AM67" s="186"/>
      <c r="AN67" s="186"/>
      <c r="AO67" s="187"/>
      <c r="AP67" s="1"/>
      <c r="AQ67" s="2"/>
    </row>
    <row r="68" spans="1:43" s="3" customFormat="1" ht="10.5" customHeight="1">
      <c r="A68" s="188"/>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90"/>
      <c r="AP68" s="1"/>
      <c r="AQ68" s="2"/>
    </row>
    <row r="69" spans="1:43" s="3" customFormat="1" ht="10.5" customHeight="1">
      <c r="A69" s="191"/>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c r="AM69" s="192"/>
      <c r="AN69" s="192"/>
      <c r="AO69" s="193"/>
      <c r="AP69" s="1"/>
      <c r="AQ69" s="2"/>
    </row>
    <row r="70" spans="1:43" s="3" customFormat="1" ht="10.5" customHeight="1">
      <c r="A70" s="194" t="s">
        <v>40</v>
      </c>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c r="AA70" s="195"/>
      <c r="AB70" s="195"/>
      <c r="AC70" s="195"/>
      <c r="AD70" s="195"/>
      <c r="AE70" s="195"/>
      <c r="AF70" s="195"/>
      <c r="AG70" s="195"/>
      <c r="AH70" s="195"/>
      <c r="AI70" s="195"/>
      <c r="AJ70" s="195"/>
      <c r="AK70" s="195"/>
      <c r="AL70" s="195"/>
      <c r="AM70" s="195"/>
      <c r="AN70" s="195"/>
      <c r="AO70" s="196"/>
      <c r="AP70" s="1"/>
      <c r="AQ70" s="2"/>
    </row>
    <row r="71" spans="1:43" s="3" customFormat="1" ht="10.5" customHeight="1">
      <c r="A71" s="197" t="s">
        <v>41</v>
      </c>
      <c r="B71" s="198"/>
      <c r="C71" s="198"/>
      <c r="D71" s="198"/>
      <c r="E71" s="198"/>
      <c r="F71" s="198"/>
      <c r="G71" s="198"/>
      <c r="H71" s="198"/>
      <c r="I71" s="198"/>
      <c r="J71" s="198"/>
      <c r="K71" s="198"/>
      <c r="L71" s="198"/>
      <c r="M71" s="198"/>
      <c r="N71" s="198"/>
      <c r="O71" s="198"/>
      <c r="P71" s="198"/>
      <c r="Q71" s="198"/>
      <c r="R71" s="198"/>
      <c r="S71" s="198"/>
      <c r="T71" s="198"/>
      <c r="U71" s="198"/>
      <c r="V71" s="198"/>
      <c r="W71" s="198"/>
      <c r="X71" s="198"/>
      <c r="Y71" s="198"/>
      <c r="Z71" s="198"/>
      <c r="AA71" s="198"/>
      <c r="AB71" s="198"/>
      <c r="AC71" s="198"/>
      <c r="AD71" s="198"/>
      <c r="AE71" s="198"/>
      <c r="AF71" s="198"/>
      <c r="AG71" s="198"/>
      <c r="AH71" s="198"/>
      <c r="AI71" s="198"/>
      <c r="AJ71" s="198"/>
      <c r="AK71" s="198"/>
      <c r="AL71" s="198"/>
      <c r="AM71" s="198"/>
      <c r="AN71" s="198"/>
      <c r="AO71" s="199"/>
      <c r="AP71" s="1"/>
      <c r="AQ71" s="2"/>
    </row>
    <row r="72" spans="1:43" s="3" customFormat="1" ht="11.25" customHeight="1">
      <c r="A72" s="200" t="s">
        <v>42</v>
      </c>
      <c r="B72" s="201"/>
      <c r="C72" s="201"/>
      <c r="D72" s="201"/>
      <c r="E72" s="201"/>
      <c r="F72" s="201"/>
      <c r="G72" s="201"/>
      <c r="H72" s="201"/>
      <c r="I72" s="46"/>
      <c r="J72" s="46"/>
      <c r="K72" s="46"/>
      <c r="L72" s="46"/>
      <c r="M72" s="46"/>
      <c r="N72" s="46"/>
      <c r="O72" s="46"/>
      <c r="P72" s="46"/>
      <c r="Q72" s="202"/>
      <c r="R72" s="203" t="s">
        <v>43</v>
      </c>
      <c r="S72" s="203"/>
      <c r="T72" s="203"/>
      <c r="U72" s="203"/>
      <c r="V72" s="46"/>
      <c r="W72" s="46"/>
      <c r="X72" s="46"/>
      <c r="Y72" s="46"/>
      <c r="Z72" s="46"/>
      <c r="AA72" s="46"/>
      <c r="AB72" s="46"/>
      <c r="AC72" s="204" t="s">
        <v>44</v>
      </c>
      <c r="AD72" s="204"/>
      <c r="AE72" s="204"/>
      <c r="AF72" s="204"/>
      <c r="AG72" s="204"/>
      <c r="AH72" s="46"/>
      <c r="AI72" s="46"/>
      <c r="AJ72" s="46"/>
      <c r="AK72" s="46"/>
      <c r="AL72" s="46"/>
      <c r="AM72" s="46"/>
      <c r="AN72" s="46"/>
      <c r="AO72" s="175"/>
      <c r="AP72" s="1"/>
      <c r="AQ72" s="2"/>
    </row>
    <row r="73" spans="1:43" s="3" customFormat="1" ht="11.25" customHeight="1" thickBot="1">
      <c r="A73" s="205" t="s">
        <v>45</v>
      </c>
      <c r="B73" s="206"/>
      <c r="C73" s="206"/>
      <c r="D73" s="206"/>
      <c r="E73" s="206"/>
      <c r="F73" s="206"/>
      <c r="G73" s="206"/>
      <c r="H73" s="206"/>
      <c r="I73" s="1"/>
      <c r="J73" s="1"/>
      <c r="K73" s="1"/>
      <c r="L73" s="1"/>
      <c r="M73" s="1"/>
      <c r="N73" s="1"/>
      <c r="O73" s="1"/>
      <c r="P73" s="1"/>
      <c r="Q73" s="1"/>
      <c r="R73" s="207"/>
      <c r="S73" s="207"/>
      <c r="T73" s="207"/>
      <c r="U73" s="207"/>
      <c r="V73" s="1"/>
      <c r="W73" s="1"/>
      <c r="X73" s="1"/>
      <c r="Y73" s="1"/>
      <c r="Z73" s="1"/>
      <c r="AA73" s="1"/>
      <c r="AB73" s="1"/>
      <c r="AC73" s="208" t="s">
        <v>7</v>
      </c>
      <c r="AD73" s="208"/>
      <c r="AE73" s="208"/>
      <c r="AF73" s="208"/>
      <c r="AG73" s="208"/>
      <c r="AH73" s="1"/>
      <c r="AI73" s="1"/>
      <c r="AJ73" s="1"/>
      <c r="AK73" s="1"/>
      <c r="AL73" s="1"/>
      <c r="AM73" s="1"/>
      <c r="AN73" s="1"/>
      <c r="AO73" s="31"/>
      <c r="AP73" s="1"/>
      <c r="AQ73" s="2"/>
    </row>
    <row r="74" spans="1:43" s="3" customFormat="1" ht="10.5" customHeight="1" thickBot="1">
      <c r="A74" s="63" t="s">
        <v>46</v>
      </c>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c r="AI74" s="64"/>
      <c r="AJ74" s="64"/>
      <c r="AK74" s="64"/>
      <c r="AL74" s="64"/>
      <c r="AM74" s="64"/>
      <c r="AN74" s="64"/>
      <c r="AO74" s="65"/>
      <c r="AP74" s="1"/>
      <c r="AQ74" s="2"/>
    </row>
    <row r="75" spans="1:43" s="3" customFormat="1" ht="10.5" customHeight="1">
      <c r="A75" s="194"/>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c r="AA75" s="195"/>
      <c r="AB75" s="195"/>
      <c r="AC75" s="195"/>
      <c r="AD75" s="195"/>
      <c r="AE75" s="195"/>
      <c r="AF75" s="195"/>
      <c r="AG75" s="195"/>
      <c r="AH75" s="195"/>
      <c r="AI75" s="195"/>
      <c r="AJ75" s="195"/>
      <c r="AK75" s="195"/>
      <c r="AL75" s="195"/>
      <c r="AM75" s="195"/>
      <c r="AN75" s="195"/>
      <c r="AO75" s="196"/>
      <c r="AP75" s="1"/>
      <c r="AQ75" s="2"/>
    </row>
    <row r="76" spans="1:43" s="3" customFormat="1" ht="10.5" customHeight="1">
      <c r="A76" s="209"/>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c r="AK76" s="210"/>
      <c r="AL76" s="210"/>
      <c r="AM76" s="210"/>
      <c r="AN76" s="210"/>
      <c r="AO76" s="211"/>
      <c r="AP76" s="1"/>
      <c r="AQ76" s="2"/>
    </row>
    <row r="77" spans="1:43" s="3" customFormat="1" ht="10.5" customHeight="1">
      <c r="A77" s="212"/>
      <c r="B77" s="213"/>
      <c r="C77" s="213"/>
      <c r="D77" s="213"/>
      <c r="E77" s="213"/>
      <c r="F77" s="213"/>
      <c r="G77" s="213"/>
      <c r="H77" s="213"/>
      <c r="I77" s="213"/>
      <c r="J77" s="213"/>
      <c r="K77" s="213"/>
      <c r="L77" s="213"/>
      <c r="M77" s="213"/>
      <c r="N77" s="213"/>
      <c r="O77" s="213"/>
      <c r="P77" s="213"/>
      <c r="Q77" s="213"/>
      <c r="R77" s="213"/>
      <c r="S77" s="213"/>
      <c r="T77" s="213"/>
      <c r="U77" s="213"/>
      <c r="V77" s="213"/>
      <c r="W77" s="213"/>
      <c r="X77" s="213"/>
      <c r="Y77" s="213"/>
      <c r="Z77" s="213"/>
      <c r="AA77" s="213"/>
      <c r="AB77" s="213"/>
      <c r="AC77" s="213"/>
      <c r="AD77" s="213"/>
      <c r="AE77" s="213"/>
      <c r="AF77" s="213"/>
      <c r="AG77" s="213"/>
      <c r="AH77" s="213"/>
      <c r="AI77" s="213"/>
      <c r="AJ77" s="213"/>
      <c r="AK77" s="213"/>
      <c r="AL77" s="213"/>
      <c r="AM77" s="213"/>
      <c r="AN77" s="213"/>
      <c r="AO77" s="214"/>
      <c r="AP77" s="1"/>
      <c r="AQ77" s="2"/>
    </row>
    <row r="78" spans="1:43" s="3" customFormat="1" ht="10.5" customHeight="1">
      <c r="A78" s="194" t="s">
        <v>47</v>
      </c>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c r="AA78" s="195"/>
      <c r="AB78" s="195"/>
      <c r="AC78" s="195"/>
      <c r="AD78" s="195"/>
      <c r="AE78" s="195"/>
      <c r="AF78" s="195"/>
      <c r="AG78" s="195"/>
      <c r="AH78" s="195"/>
      <c r="AI78" s="195"/>
      <c r="AJ78" s="195"/>
      <c r="AK78" s="195"/>
      <c r="AL78" s="195"/>
      <c r="AM78" s="195"/>
      <c r="AN78" s="195"/>
      <c r="AO78" s="196"/>
      <c r="AP78" s="1"/>
      <c r="AQ78" s="2"/>
    </row>
    <row r="79" spans="1:43" s="3" customFormat="1" ht="10.5" customHeight="1">
      <c r="A79" s="197" t="s">
        <v>41</v>
      </c>
      <c r="B79" s="198"/>
      <c r="C79" s="198"/>
      <c r="D79" s="198"/>
      <c r="E79" s="198"/>
      <c r="F79" s="198"/>
      <c r="G79" s="198"/>
      <c r="H79" s="198"/>
      <c r="I79" s="198"/>
      <c r="J79" s="198"/>
      <c r="K79" s="198"/>
      <c r="L79" s="198"/>
      <c r="M79" s="198"/>
      <c r="N79" s="198"/>
      <c r="O79" s="198"/>
      <c r="P79" s="198"/>
      <c r="Q79" s="198"/>
      <c r="R79" s="198"/>
      <c r="S79" s="198"/>
      <c r="T79" s="198"/>
      <c r="U79" s="198"/>
      <c r="V79" s="198"/>
      <c r="W79" s="198"/>
      <c r="X79" s="198"/>
      <c r="Y79" s="198"/>
      <c r="Z79" s="198"/>
      <c r="AA79" s="198"/>
      <c r="AB79" s="198"/>
      <c r="AC79" s="198"/>
      <c r="AD79" s="198"/>
      <c r="AE79" s="198"/>
      <c r="AF79" s="198"/>
      <c r="AG79" s="198"/>
      <c r="AH79" s="198"/>
      <c r="AI79" s="198"/>
      <c r="AJ79" s="198"/>
      <c r="AK79" s="198"/>
      <c r="AL79" s="198"/>
      <c r="AM79" s="198"/>
      <c r="AN79" s="198"/>
      <c r="AO79" s="199"/>
      <c r="AP79" s="1"/>
      <c r="AQ79" s="2"/>
    </row>
    <row r="80" spans="1:43" s="3" customFormat="1" ht="11.25" customHeight="1">
      <c r="A80" s="200" t="s">
        <v>42</v>
      </c>
      <c r="B80" s="201"/>
      <c r="C80" s="201"/>
      <c r="D80" s="201"/>
      <c r="E80" s="201"/>
      <c r="F80" s="201"/>
      <c r="G80" s="201"/>
      <c r="H80" s="201"/>
      <c r="I80" s="46"/>
      <c r="J80" s="46"/>
      <c r="K80" s="46"/>
      <c r="L80" s="46"/>
      <c r="M80" s="46"/>
      <c r="N80" s="46"/>
      <c r="O80" s="46"/>
      <c r="P80" s="46"/>
      <c r="Q80" s="202"/>
      <c r="R80" s="203" t="s">
        <v>43</v>
      </c>
      <c r="S80" s="203"/>
      <c r="T80" s="203"/>
      <c r="U80" s="203"/>
      <c r="V80" s="46"/>
      <c r="W80" s="46"/>
      <c r="X80" s="46"/>
      <c r="Y80" s="46"/>
      <c r="Z80" s="46"/>
      <c r="AA80" s="46"/>
      <c r="AB80" s="46"/>
      <c r="AC80" s="204" t="s">
        <v>44</v>
      </c>
      <c r="AD80" s="204"/>
      <c r="AE80" s="204"/>
      <c r="AF80" s="204"/>
      <c r="AG80" s="204"/>
      <c r="AH80" s="46"/>
      <c r="AI80" s="46"/>
      <c r="AJ80" s="46"/>
      <c r="AK80" s="46"/>
      <c r="AL80" s="46"/>
      <c r="AM80" s="46"/>
      <c r="AN80" s="46"/>
      <c r="AO80" s="175"/>
      <c r="AP80" s="1"/>
      <c r="AQ80" s="2"/>
    </row>
    <row r="81" spans="1:43" s="3" customFormat="1" ht="11.25" customHeight="1" thickBot="1">
      <c r="A81" s="215" t="s">
        <v>45</v>
      </c>
      <c r="B81" s="216"/>
      <c r="C81" s="216"/>
      <c r="D81" s="216"/>
      <c r="E81" s="216"/>
      <c r="F81" s="216"/>
      <c r="G81" s="216"/>
      <c r="H81" s="216"/>
      <c r="I81" s="27"/>
      <c r="J81" s="27"/>
      <c r="K81" s="27"/>
      <c r="L81" s="27"/>
      <c r="M81" s="27"/>
      <c r="N81" s="27"/>
      <c r="O81" s="27"/>
      <c r="P81" s="27"/>
      <c r="Q81" s="27"/>
      <c r="R81" s="217"/>
      <c r="S81" s="217"/>
      <c r="T81" s="217"/>
      <c r="U81" s="217"/>
      <c r="V81" s="27"/>
      <c r="W81" s="27"/>
      <c r="X81" s="27"/>
      <c r="Y81" s="27"/>
      <c r="Z81" s="27"/>
      <c r="AA81" s="27"/>
      <c r="AB81" s="27"/>
      <c r="AC81" s="218" t="s">
        <v>7</v>
      </c>
      <c r="AD81" s="218"/>
      <c r="AE81" s="218"/>
      <c r="AF81" s="218"/>
      <c r="AG81" s="218"/>
      <c r="AH81" s="27"/>
      <c r="AI81" s="27"/>
      <c r="AJ81" s="27"/>
      <c r="AK81" s="27"/>
      <c r="AL81" s="27"/>
      <c r="AM81" s="27"/>
      <c r="AN81" s="27"/>
      <c r="AO81" s="219"/>
      <c r="AP81" s="1"/>
      <c r="AQ81" s="2"/>
    </row>
    <row r="82" spans="1:43" s="3" customFormat="1" ht="11.25" customHeight="1">
      <c r="A82" s="1" t="s">
        <v>48</v>
      </c>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1"/>
      <c r="Z82" s="220"/>
      <c r="AA82" s="220"/>
      <c r="AB82" s="220"/>
      <c r="AC82" s="220"/>
      <c r="AD82" s="220"/>
      <c r="AE82" s="220"/>
      <c r="AF82" s="220"/>
      <c r="AG82" s="220"/>
      <c r="AH82" s="220"/>
      <c r="AI82" s="220"/>
      <c r="AJ82" s="220"/>
      <c r="AK82" s="220"/>
      <c r="AL82" s="220"/>
      <c r="AM82" s="220"/>
      <c r="AN82" s="220"/>
      <c r="AO82" s="220"/>
      <c r="AP82" s="1"/>
      <c r="AQ82" s="2"/>
    </row>
    <row r="83" spans="1:43" s="3" customFormat="1" ht="11.25" customHeight="1">
      <c r="A83" s="1"/>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1"/>
      <c r="Z83" s="220"/>
      <c r="AA83" s="220"/>
      <c r="AB83" s="220"/>
      <c r="AC83" s="220"/>
      <c r="AD83" s="220"/>
      <c r="AE83" s="220"/>
      <c r="AF83" s="220"/>
      <c r="AG83" s="220"/>
      <c r="AH83" s="220"/>
      <c r="AI83" s="220"/>
      <c r="AJ83" s="220"/>
      <c r="AK83" s="220"/>
      <c r="AL83" s="220"/>
      <c r="AM83" s="220"/>
      <c r="AN83" s="220"/>
      <c r="AO83" s="220"/>
      <c r="AP83" s="1"/>
      <c r="AQ83" s="2"/>
    </row>
    <row r="84" spans="1:43" s="3" customFormat="1" ht="11.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2"/>
    </row>
    <row r="85" spans="1:43" s="3" customFormat="1" ht="11.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2"/>
    </row>
    <row r="86" spans="1:43" s="3" customFormat="1" ht="11.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2"/>
    </row>
    <row r="87" spans="1:43" s="3" customFormat="1" ht="11.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2"/>
    </row>
    <row r="88" spans="1:43" s="3" customFormat="1" ht="11.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2"/>
    </row>
    <row r="89" spans="1:43" s="3" customFormat="1" ht="11.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2"/>
    </row>
    <row r="90" spans="1:43" s="3" customFormat="1" ht="11.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2"/>
    </row>
    <row r="91" spans="1:43" s="3" customFormat="1" ht="11.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2"/>
    </row>
    <row r="92" spans="1:43" s="3" customFormat="1" ht="11.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2"/>
    </row>
    <row r="93" spans="1:43" s="3" customFormat="1" ht="11.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2"/>
    </row>
    <row r="94" spans="1:43" s="3" customFormat="1" ht="11.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2"/>
    </row>
    <row r="95" spans="1:43" s="3" customFormat="1" ht="11.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2"/>
    </row>
    <row r="96" spans="1:43" s="3" customFormat="1" ht="11.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2"/>
    </row>
    <row r="97" spans="1:43" s="3" customFormat="1" ht="11.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2"/>
    </row>
    <row r="98" spans="1:43" s="3" customFormat="1" ht="11.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2"/>
    </row>
    <row r="99" spans="1:43" s="3" customFormat="1" ht="11.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2"/>
    </row>
    <row r="100" spans="1:43" s="3" customFormat="1" ht="11.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2"/>
    </row>
    <row r="101" spans="1:43" s="3" customFormat="1" ht="11.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2"/>
    </row>
    <row r="102" spans="1:43" s="3" customFormat="1" ht="11.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2"/>
    </row>
    <row r="103" spans="1:43" s="3" customFormat="1" ht="11.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2"/>
    </row>
    <row r="104" spans="1:43" s="3" customFormat="1" ht="11.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2"/>
    </row>
    <row r="105" spans="1:43" s="3" customFormat="1" ht="11.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2"/>
    </row>
    <row r="106" spans="1:43" s="3" customFormat="1"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2"/>
    </row>
    <row r="107" spans="1:43" s="3" customFormat="1"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2"/>
    </row>
    <row r="108" spans="1:43" s="3" customFormat="1"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2"/>
    </row>
    <row r="109" spans="1:43" s="3" customFormat="1"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2"/>
    </row>
    <row r="110" spans="1:43" s="3" customFormat="1"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2"/>
    </row>
    <row r="111" spans="1:43" s="3" customFormat="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2"/>
    </row>
  </sheetData>
  <mergeCells count="171">
    <mergeCell ref="A74:AO74"/>
    <mergeCell ref="A75:AO77"/>
    <mergeCell ref="A78:AO78"/>
    <mergeCell ref="A79:AO79"/>
    <mergeCell ref="A80:H80"/>
    <mergeCell ref="R80:U81"/>
    <mergeCell ref="AC80:AG80"/>
    <mergeCell ref="A81:H81"/>
    <mergeCell ref="AC81:AG81"/>
    <mergeCell ref="AI65:AO65"/>
    <mergeCell ref="A66:AO66"/>
    <mergeCell ref="A67:AO69"/>
    <mergeCell ref="A70:AO70"/>
    <mergeCell ref="A71:AO71"/>
    <mergeCell ref="A72:H72"/>
    <mergeCell ref="R72:U73"/>
    <mergeCell ref="AC72:AG72"/>
    <mergeCell ref="A73:H73"/>
    <mergeCell ref="AC73:AG73"/>
    <mergeCell ref="A65:K65"/>
    <mergeCell ref="L65:N65"/>
    <mergeCell ref="O65:S65"/>
    <mergeCell ref="T65:X65"/>
    <mergeCell ref="Y65:AC65"/>
    <mergeCell ref="AD65:AH65"/>
    <mergeCell ref="AI63:AO63"/>
    <mergeCell ref="A64:K64"/>
    <mergeCell ref="L64:N64"/>
    <mergeCell ref="O64:S64"/>
    <mergeCell ref="T64:X64"/>
    <mergeCell ref="Y64:AC64"/>
    <mergeCell ref="AD64:AH64"/>
    <mergeCell ref="AI64:AO64"/>
    <mergeCell ref="A63:K63"/>
    <mergeCell ref="L63:N63"/>
    <mergeCell ref="O63:S63"/>
    <mergeCell ref="T63:X63"/>
    <mergeCell ref="Y63:AC63"/>
    <mergeCell ref="AD63:AH63"/>
    <mergeCell ref="AI59:AO59"/>
    <mergeCell ref="A60:K61"/>
    <mergeCell ref="A62:K62"/>
    <mergeCell ref="L62:N62"/>
    <mergeCell ref="O62:S62"/>
    <mergeCell ref="T62:X62"/>
    <mergeCell ref="Y62:AC62"/>
    <mergeCell ref="AD62:AH62"/>
    <mergeCell ref="AI62:AO62"/>
    <mergeCell ref="A59:K59"/>
    <mergeCell ref="L59:N59"/>
    <mergeCell ref="O59:S59"/>
    <mergeCell ref="T59:X59"/>
    <mergeCell ref="Y59:AC59"/>
    <mergeCell ref="AD59:AH59"/>
    <mergeCell ref="L58:N58"/>
    <mergeCell ref="O58:S58"/>
    <mergeCell ref="T58:X58"/>
    <mergeCell ref="Y58:AC58"/>
    <mergeCell ref="AD58:AH58"/>
    <mergeCell ref="AI58:AO58"/>
    <mergeCell ref="L57:N57"/>
    <mergeCell ref="O57:S57"/>
    <mergeCell ref="T57:X57"/>
    <mergeCell ref="Y57:AC57"/>
    <mergeCell ref="AD57:AH57"/>
    <mergeCell ref="AI57:AO57"/>
    <mergeCell ref="L56:N56"/>
    <mergeCell ref="O56:S56"/>
    <mergeCell ref="T56:X56"/>
    <mergeCell ref="Y56:AC56"/>
    <mergeCell ref="AD56:AH56"/>
    <mergeCell ref="AI56:AO56"/>
    <mergeCell ref="L55:N55"/>
    <mergeCell ref="O55:S55"/>
    <mergeCell ref="T55:X55"/>
    <mergeCell ref="Y55:AC55"/>
    <mergeCell ref="AD55:AH55"/>
    <mergeCell ref="AI55:AO55"/>
    <mergeCell ref="L54:N54"/>
    <mergeCell ref="O54:S54"/>
    <mergeCell ref="T54:X54"/>
    <mergeCell ref="Y54:AC54"/>
    <mergeCell ref="AD54:AH54"/>
    <mergeCell ref="AI54:AO54"/>
    <mergeCell ref="L53:N53"/>
    <mergeCell ref="O53:S53"/>
    <mergeCell ref="T53:X53"/>
    <mergeCell ref="Y53:AC53"/>
    <mergeCell ref="AD53:AH53"/>
    <mergeCell ref="AI53:AO53"/>
    <mergeCell ref="L52:N52"/>
    <mergeCell ref="O52:S52"/>
    <mergeCell ref="T52:X52"/>
    <mergeCell ref="Y52:AC52"/>
    <mergeCell ref="AD52:AH52"/>
    <mergeCell ref="AI52:AO52"/>
    <mergeCell ref="L51:N51"/>
    <mergeCell ref="O51:S51"/>
    <mergeCell ref="T51:X51"/>
    <mergeCell ref="Y51:AC51"/>
    <mergeCell ref="AD51:AH51"/>
    <mergeCell ref="AI51:AO51"/>
    <mergeCell ref="L50:N50"/>
    <mergeCell ref="O50:S50"/>
    <mergeCell ref="T50:X50"/>
    <mergeCell ref="Y50:AC50"/>
    <mergeCell ref="AD50:AH50"/>
    <mergeCell ref="AI50:AO50"/>
    <mergeCell ref="T48:X48"/>
    <mergeCell ref="Y48:AC48"/>
    <mergeCell ref="AD48:AH48"/>
    <mergeCell ref="AI48:AO48"/>
    <mergeCell ref="L49:N49"/>
    <mergeCell ref="O49:S49"/>
    <mergeCell ref="T49:X49"/>
    <mergeCell ref="Y49:AC49"/>
    <mergeCell ref="AD49:AH49"/>
    <mergeCell ref="AI49:AO49"/>
    <mergeCell ref="AQ45:AQ46"/>
    <mergeCell ref="A47:K50"/>
    <mergeCell ref="L47:N47"/>
    <mergeCell ref="O47:S47"/>
    <mergeCell ref="T47:X47"/>
    <mergeCell ref="Y47:AC47"/>
    <mergeCell ref="AD47:AH47"/>
    <mergeCell ref="AI47:AO47"/>
    <mergeCell ref="L48:N48"/>
    <mergeCell ref="O48:S48"/>
    <mergeCell ref="A43:AO43"/>
    <mergeCell ref="A44:K46"/>
    <mergeCell ref="L44:N46"/>
    <mergeCell ref="O44:AH44"/>
    <mergeCell ref="AI44:AO46"/>
    <mergeCell ref="O45:S46"/>
    <mergeCell ref="T45:X46"/>
    <mergeCell ref="Y45:AC46"/>
    <mergeCell ref="AD45:AH46"/>
    <mergeCell ref="A30:AO30"/>
    <mergeCell ref="A31:A33"/>
    <mergeCell ref="B31:M33"/>
    <mergeCell ref="B35:AN36"/>
    <mergeCell ref="B39:AI41"/>
    <mergeCell ref="AK40:AK41"/>
    <mergeCell ref="AL40:AL41"/>
    <mergeCell ref="AM40:AM41"/>
    <mergeCell ref="AN40:AN41"/>
    <mergeCell ref="B23:AI25"/>
    <mergeCell ref="AQ23:AU25"/>
    <mergeCell ref="AK24:AK25"/>
    <mergeCell ref="AL24:AL25"/>
    <mergeCell ref="AM24:AM25"/>
    <mergeCell ref="AN24:AN25"/>
    <mergeCell ref="A14:AO14"/>
    <mergeCell ref="A15:A17"/>
    <mergeCell ref="B15:M17"/>
    <mergeCell ref="AQ15:AQ17"/>
    <mergeCell ref="AR16:AR17"/>
    <mergeCell ref="B19:AN20"/>
    <mergeCell ref="AQ19:AT20"/>
    <mergeCell ref="A11:A13"/>
    <mergeCell ref="B11:E13"/>
    <mergeCell ref="H11:I13"/>
    <mergeCell ref="R11:U13"/>
    <mergeCell ref="Y11:Z13"/>
    <mergeCell ref="AI11:AO13"/>
    <mergeCell ref="H2:AG2"/>
    <mergeCell ref="AH2:AO2"/>
    <mergeCell ref="H3:AG3"/>
    <mergeCell ref="AH3:AO3"/>
    <mergeCell ref="H4:AG4"/>
    <mergeCell ref="L5:AB9"/>
  </mergeCells>
  <dataValidations count="1">
    <dataValidation type="list" allowBlank="1" showInputMessage="1" showErrorMessage="1" sqref="AQ15" xr:uid="{1D64C51D-5660-411E-BCC1-65E44BA819B2}">
      <formula1>#REF!</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JSTN ACE</dc:creator>
  <cp:lastModifiedBy>JSTN ACE</cp:lastModifiedBy>
  <dcterms:created xsi:type="dcterms:W3CDTF">2026-06-09T03:07:31Z</dcterms:created>
  <dcterms:modified xsi:type="dcterms:W3CDTF">2026-06-09T03:08:33Z</dcterms:modified>
</cp:coreProperties>
</file>