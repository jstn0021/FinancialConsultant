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codeName="ThisWorkbook"/>
  <mc:AlternateContent xmlns:mc="http://schemas.openxmlformats.org/markup-compatibility/2006">
    <mc:Choice Requires="x15">
      <x15ac:absPath xmlns:x15ac="http://schemas.microsoft.com/office/spreadsheetml/2010/11/ac" url="C:\Users\graga\Documents\OJT\"/>
    </mc:Choice>
  </mc:AlternateContent>
  <xr:revisionPtr revIDLastSave="0" documentId="8_{14867B02-7AC8-4457-B368-B9612DE53B3D}" xr6:coauthVersionLast="47" xr6:coauthVersionMax="47" xr10:uidLastSave="{00000000-0000-0000-0000-000000000000}"/>
  <bookViews>
    <workbookView xWindow="-108" yWindow="-108" windowWidth="23256" windowHeight="13176" xr2:uid="{00000000-000D-0000-FFFF-FFFF00000000}"/>
  </bookViews>
  <sheets>
    <sheet name="BIR2307 (2)" sheetId="3" r:id="rId1"/>
    <sheet name="Page1" sheetId="1" state="hidden" r:id="rId2"/>
    <sheet name="Page2" sheetId="2" state="hidden" r:id="rId3"/>
    <sheet name="BIR2307-tv" sheetId="4" state="hidden" r:id="rId4"/>
  </sheets>
  <externalReferences>
    <externalReference r:id="rId5"/>
    <externalReference r:id="rId6"/>
    <externalReference r:id="rId7"/>
  </externalReferences>
  <definedNames>
    <definedName name="_xlnm._FilterDatabase" localSheetId="0" hidden="1">'BIR2307 (2)'!$A$1:$AW$226</definedName>
    <definedName name="_xlnm._FilterDatabase" localSheetId="3" hidden="1">'BIR2307-tv'!$A$1:$AW$226</definedName>
    <definedName name="_xlnm._FilterDatabase" localSheetId="1" hidden="1">Page1!$A$1:$AY$222</definedName>
    <definedName name="a" localSheetId="0">'[1]Lapsing Schedule2009'!#REF!</definedName>
    <definedName name="a" localSheetId="3">'[1]Lapsing Schedule2009'!#REF!</definedName>
    <definedName name="a">'[1]Lapsing Schedule2009'!#REF!</definedName>
    <definedName name="aaaa" localSheetId="0">'[1]Lapsing Schedule2009'!#REF!</definedName>
    <definedName name="aaaa" localSheetId="3">'[1]Lapsing Schedule2009'!#REF!</definedName>
    <definedName name="aaaa">'[1]Lapsing Schedule2009'!#REF!</definedName>
    <definedName name="Acqn_Cost_C" localSheetId="0">'[1]Lapsing Schedule2009'!#REF!</definedName>
    <definedName name="Acqn_Cost_C" localSheetId="3">'[1]Lapsing Schedule2009'!#REF!</definedName>
    <definedName name="Acqn_Cost_C">'[1]Lapsing Schedule2009'!#REF!</definedName>
    <definedName name="Acqn_Cost_D" localSheetId="0">'[1]Lapsing Schedule2009'!#REF!</definedName>
    <definedName name="Acqn_Cost_D" localSheetId="3">'[1]Lapsing Schedule2009'!#REF!</definedName>
    <definedName name="Acqn_Cost_D">'[1]Lapsing Schedule2009'!#REF!</definedName>
    <definedName name="Acqn_Cost_D1" localSheetId="0">'[1]Lapsing Schedule2009'!#REF!</definedName>
    <definedName name="Acqn_Cost_D1" localSheetId="3">'[1]Lapsing Schedule2009'!#REF!</definedName>
    <definedName name="Acqn_Cost_D1">'[1]Lapsing Schedule2009'!#REF!</definedName>
    <definedName name="acqn_Cost_E" localSheetId="0">'[1]Lapsing Schedule2009'!#REF!</definedName>
    <definedName name="acqn_Cost_E" localSheetId="3">'[1]Lapsing Schedule2009'!#REF!</definedName>
    <definedName name="acqn_Cost_E">'[1]Lapsing Schedule2009'!#REF!</definedName>
    <definedName name="Acqn_Cost_F" localSheetId="0">'[1]Lapsing Schedule2009'!#REF!</definedName>
    <definedName name="Acqn_Cost_F" localSheetId="3">'[1]Lapsing Schedule2009'!#REF!</definedName>
    <definedName name="Acqn_Cost_F">'[1]Lapsing Schedule2009'!#REF!</definedName>
    <definedName name="Acqn_Cost_G" localSheetId="0">'[1]Lapsing Schedule2009'!#REF!</definedName>
    <definedName name="Acqn_Cost_G" localSheetId="3">'[1]Lapsing Schedule2009'!#REF!</definedName>
    <definedName name="Acqn_Cost_G">'[1]Lapsing Schedule2009'!#REF!</definedName>
    <definedName name="Acqn_Cost_H" localSheetId="0">'[1]Lapsing Schedule2009'!#REF!</definedName>
    <definedName name="Acqn_Cost_H" localSheetId="3">'[1]Lapsing Schedule2009'!#REF!</definedName>
    <definedName name="Acqn_Cost_H">'[1]Lapsing Schedule2009'!#REF!</definedName>
    <definedName name="b" localSheetId="0">'[1]Lapsing Schedule2009'!#REF!</definedName>
    <definedName name="b" localSheetId="3">'[1]Lapsing Schedule2009'!#REF!</definedName>
    <definedName name="b">'[1]Lapsing Schedule2009'!#REF!</definedName>
    <definedName name="c." localSheetId="0">'[1]Lapsing Schedule2009'!#REF!</definedName>
    <definedName name="c." localSheetId="3">'[1]Lapsing Schedule2009'!#REF!</definedName>
    <definedName name="c.">'[1]Lapsing Schedule2009'!#REF!</definedName>
    <definedName name="DropDownList">#REF!:INDEX(#REF!,MAX(#REF!),1)</definedName>
    <definedName name="ExactAddinConnection" hidden="1">"900"</definedName>
    <definedName name="ExactAddinConnection.900" hidden="1">"NMRLMERCADER;900;lmercader;1"</definedName>
    <definedName name="ExactAddinReports" hidden="1">1</definedName>
    <definedName name="f" localSheetId="0">'[1]Lapsing Schedule2009'!#REF!</definedName>
    <definedName name="f" localSheetId="3">'[1]Lapsing Schedule2009'!#REF!</definedName>
    <definedName name="f">'[1]Lapsing Schedule2009'!#REF!</definedName>
    <definedName name="g" localSheetId="0">'[1]Lapsing Schedule2009'!#REF!</definedName>
    <definedName name="g" localSheetId="3">'[1]Lapsing Schedule2009'!#REF!</definedName>
    <definedName name="g">'[1]Lapsing Schedule2009'!#REF!</definedName>
    <definedName name="i" localSheetId="0">'[1]Lapsing Schedule2009'!#REF!</definedName>
    <definedName name="i" localSheetId="3">'[1]Lapsing Schedule2009'!#REF!</definedName>
    <definedName name="i">'[1]Lapsing Schedule2009'!#REF!</definedName>
    <definedName name="j" localSheetId="0">'[1]Lapsing Schedule2009'!#REF!</definedName>
    <definedName name="j" localSheetId="3">'[1]Lapsing Schedule2009'!#REF!</definedName>
    <definedName name="j">'[1]Lapsing Schedule2009'!#REF!</definedName>
    <definedName name="M" localSheetId="0">'[1]Lapsing Schedule2009'!#REF!</definedName>
    <definedName name="M" localSheetId="3">'[1]Lapsing Schedule2009'!#REF!</definedName>
    <definedName name="M">'[1]Lapsing Schedule2009'!#REF!</definedName>
    <definedName name="mcg" localSheetId="0">'[1]Lapsing Schedule2009'!#REF!</definedName>
    <definedName name="mcg" localSheetId="3">'[1]Lapsing Schedule2009'!#REF!</definedName>
    <definedName name="mcg">'[1]Lapsing Schedule2009'!#REF!</definedName>
    <definedName name="me" localSheetId="0">'[1]Lapsing Schedule2009'!#REF!</definedName>
    <definedName name="me" localSheetId="3">'[1]Lapsing Schedule2009'!#REF!</definedName>
    <definedName name="me">'[1]Lapsing Schedule2009'!#REF!</definedName>
    <definedName name="min" localSheetId="0">'[1]Lapsing Schedule2009'!#REF!</definedName>
    <definedName name="min" localSheetId="3">'[1]Lapsing Schedule2009'!#REF!</definedName>
    <definedName name="min">'[1]Lapsing Schedule2009'!#REF!</definedName>
    <definedName name="Mina" localSheetId="0">'[1]Lapsing Schedule2009'!#REF!</definedName>
    <definedName name="Mina" localSheetId="3">'[1]Lapsing Schedule2009'!#REF!</definedName>
    <definedName name="Mina">'[1]Lapsing Schedule2009'!#REF!</definedName>
    <definedName name="Mine" localSheetId="0">'[1]Lapsing Schedule2009'!#REF!</definedName>
    <definedName name="Mine" localSheetId="3">'[1]Lapsing Schedule2009'!#REF!</definedName>
    <definedName name="Mine">'[1]Lapsing Schedule2009'!#REF!</definedName>
    <definedName name="Mines" localSheetId="0">'[1]Lapsing Schedule2009'!#REF!</definedName>
    <definedName name="Mines" localSheetId="3">'[1]Lapsing Schedule2009'!#REF!</definedName>
    <definedName name="Mines">'[1]Lapsing Schedule2009'!#REF!</definedName>
    <definedName name="n" localSheetId="0">'[1]Lapsing Schedule2009'!#REF!</definedName>
    <definedName name="n" localSheetId="3">'[1]Lapsing Schedule2009'!#REF!</definedName>
    <definedName name="n">'[1]Lapsing Schedule2009'!#REF!</definedName>
    <definedName name="O" localSheetId="0">'[1]Lapsing Schedule2009'!#REF!</definedName>
    <definedName name="O" localSheetId="3">'[1]Lapsing Schedule2009'!#REF!</definedName>
    <definedName name="O">'[1]Lapsing Schedule2009'!#REF!</definedName>
    <definedName name="OCP" localSheetId="0">'[1]Lapsing Schedule2009'!#REF!</definedName>
    <definedName name="OCP" localSheetId="3">'[1]Lapsing Schedule2009'!#REF!</definedName>
    <definedName name="OCP">'[1]Lapsing Schedule2009'!#REF!</definedName>
    <definedName name="p" localSheetId="0">'[1]Lapsing Schedule2009'!#REF!</definedName>
    <definedName name="p" localSheetId="3">'[1]Lapsing Schedule2009'!#REF!</definedName>
    <definedName name="p">'[1]Lapsing Schedule2009'!#REF!</definedName>
    <definedName name="Pettycash" localSheetId="0">'[1]Lapsing Schedule2009'!#REF!</definedName>
    <definedName name="Pettycash" localSheetId="3">'[1]Lapsing Schedule2009'!#REF!</definedName>
    <definedName name="Pettycash">'[1]Lapsing Schedule2009'!#REF!</definedName>
    <definedName name="_xlnm.Print_Area" localSheetId="0">'BIR2307 (2)'!$A$1:$AO$82</definedName>
    <definedName name="_xlnm.Print_Area" localSheetId="3">'BIR2307-tv'!$A$1:$AO$82</definedName>
    <definedName name="_xlnm.Print_Area" localSheetId="1">Page1!$A$1:$AN$79</definedName>
    <definedName name="_xlnm.Print_Area" localSheetId="2">Page2!$A$1:$AN$115</definedName>
    <definedName name="q" localSheetId="0">'[1]Lapsing Schedule2009'!#REF!</definedName>
    <definedName name="q" localSheetId="3">'[1]Lapsing Schedule2009'!#REF!</definedName>
    <definedName name="q">'[1]Lapsing Schedule2009'!#REF!</definedName>
    <definedName name="rr" localSheetId="0">'[1]Lapsing Schedule2009'!#REF!</definedName>
    <definedName name="rr" localSheetId="3">'[1]Lapsing Schedule2009'!#REF!</definedName>
    <definedName name="rr">'[1]Lapsing Schedule2009'!#REF!</definedName>
    <definedName name="s" localSheetId="0">'[1]Lapsing Schedule2009'!#REF!</definedName>
    <definedName name="s" localSheetId="3">'[1]Lapsing Schedule2009'!#REF!</definedName>
    <definedName name="s">'[1]Lapsing Schedule2009'!#REF!</definedName>
    <definedName name="T" localSheetId="0">'[1]Lapsing Schedule2009'!#REF!</definedName>
    <definedName name="T" localSheetId="3">'[1]Lapsing Schedule2009'!#REF!</definedName>
    <definedName name="T">'[1]Lapsing Schedule2009'!#REF!</definedName>
    <definedName name="u" localSheetId="0">'[1]Lapsing Schedule2009'!#REF!</definedName>
    <definedName name="u" localSheetId="3">'[1]Lapsing Schedule2009'!#REF!</definedName>
    <definedName name="u">'[1]Lapsing Schedule2009'!#REF!</definedName>
    <definedName name="w" localSheetId="0">'[1]Lapsing Schedule2009'!#REF!</definedName>
    <definedName name="w" localSheetId="3">'[1]Lapsing Schedule2009'!#REF!</definedName>
    <definedName name="w">'[1]Lapsing Schedule2009'!#REF!</definedName>
    <definedName name="withholdingtaxcode">'[2]Tax code'!$D$2:$D$8</definedName>
    <definedName name="x" localSheetId="0">'[1]Lapsing Schedule2009'!#REF!</definedName>
    <definedName name="x" localSheetId="3">'[1]Lapsing Schedule2009'!#REF!</definedName>
    <definedName name="x">'[1]Lapsing Schedule2009'!#REF!</definedName>
    <definedName name="y" localSheetId="0">'[1]Lapsing Schedule2009'!#REF!</definedName>
    <definedName name="y" localSheetId="3">'[1]Lapsing Schedule2009'!#REF!</definedName>
    <definedName name="y">'[1]Lapsing Schedule2009'!#REF!</definedName>
    <definedName name="z" localSheetId="0">'[1]Lapsing Schedule2009'!#REF!</definedName>
    <definedName name="z" localSheetId="3">'[1]Lapsing Schedule2009'!#REF!</definedName>
    <definedName name="z">'[1]Lapsing Schedule2009'!#REF!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 l="1"/>
  <c r="T59" i="3"/>
  <c r="O59" i="3"/>
  <c r="AD47" i="3"/>
  <c r="AD59" i="3" l="1"/>
  <c r="AI47" i="3"/>
  <c r="AI59" i="3" s="1"/>
  <c r="AT53" i="3"/>
  <c r="Y59" i="4"/>
  <c r="T59" i="4"/>
  <c r="O59" i="4"/>
  <c r="AQ58" i="4"/>
  <c r="AI58" i="4" s="1"/>
  <c r="AQ57" i="4"/>
  <c r="AI57" i="4"/>
  <c r="AQ54" i="4"/>
  <c r="AI54" i="4" s="1"/>
  <c r="AQ53" i="4"/>
  <c r="AI53" i="4" s="1"/>
  <c r="AQ52" i="4"/>
  <c r="AI52" i="4" s="1"/>
  <c r="AQ51" i="4"/>
  <c r="AI51" i="4" s="1"/>
  <c r="AQ50" i="4"/>
  <c r="AI50" i="4" s="1"/>
  <c r="AQ49" i="4"/>
  <c r="AI49" i="4" s="1"/>
  <c r="AQ48" i="4"/>
  <c r="AI48" i="4" s="1"/>
  <c r="AQ47" i="4"/>
  <c r="AD47" i="4"/>
  <c r="AD59" i="4" s="1"/>
  <c r="A47" i="4"/>
  <c r="AQ23" i="4"/>
  <c r="AR13" i="4"/>
  <c r="AE13" i="4" s="1"/>
  <c r="P13" i="4"/>
  <c r="O13" i="4"/>
  <c r="N13" i="4"/>
  <c r="M13" i="4"/>
  <c r="A47" i="3"/>
  <c r="AQ23" i="3"/>
  <c r="AR13" i="3"/>
  <c r="AE13" i="3" s="1"/>
  <c r="P13" i="3"/>
  <c r="O13" i="3"/>
  <c r="N13" i="3"/>
  <c r="M13" i="3"/>
  <c r="L13" i="3"/>
  <c r="AF13" i="4" l="1"/>
  <c r="AI47" i="4"/>
  <c r="AI59" i="4" s="1"/>
  <c r="AG13" i="4"/>
  <c r="AC13" i="4"/>
  <c r="AG13" i="3"/>
  <c r="AF13" i="3"/>
  <c r="AC13" i="3"/>
  <c r="AP39" i="1" l="1"/>
  <c r="AP40" i="1"/>
  <c r="AP41" i="1"/>
  <c r="AP42" i="1"/>
  <c r="AP43" i="1"/>
  <c r="AP44" i="1"/>
  <c r="AP45" i="1"/>
  <c r="AP46" i="1"/>
  <c r="AP47" i="1"/>
  <c r="AP38" i="1"/>
  <c r="AD39" i="1"/>
  <c r="AD40" i="1"/>
  <c r="AD41" i="1"/>
  <c r="AD42" i="1"/>
  <c r="AD43" i="1"/>
  <c r="AD44" i="1"/>
  <c r="AD45" i="1"/>
  <c r="AD46" i="1"/>
  <c r="AD47" i="1"/>
  <c r="AD38" i="1"/>
  <c r="AI44" i="1" l="1"/>
  <c r="AI40" i="1"/>
  <c r="AI47" i="1"/>
  <c r="AI43" i="1"/>
  <c r="AI39" i="1"/>
  <c r="AI46" i="1"/>
  <c r="AI42" i="1"/>
  <c r="AI45" i="1"/>
  <c r="AI41" i="1"/>
  <c r="AI38" i="1"/>
  <c r="AH2" i="1" l="1"/>
  <c r="AI48" i="1" l="1"/>
  <c r="T48" i="1"/>
  <c r="Y48" i="1"/>
  <c r="AD48" i="1"/>
  <c r="O48" i="1"/>
</calcChain>
</file>

<file path=xl/sharedStrings.xml><?xml version="1.0" encoding="utf-8"?>
<sst xmlns="http://schemas.openxmlformats.org/spreadsheetml/2006/main" count="743" uniqueCount="413">
  <si>
    <t>Republic of the Philippines</t>
  </si>
  <si>
    <t>Department of Finance</t>
  </si>
  <si>
    <t>Bureau of Internal Revenue</t>
  </si>
  <si>
    <t>Certificate of Creditable Tax Withheld at Source</t>
  </si>
  <si>
    <t>Fill in all applicable spaces. Mark all appropriate boxes with an "X".</t>
  </si>
  <si>
    <t>For the Period</t>
  </si>
  <si>
    <t xml:space="preserve"> From</t>
  </si>
  <si>
    <t>(MM/DD/YYYY)</t>
  </si>
  <si>
    <t>To</t>
  </si>
  <si>
    <t>20250701</t>
  </si>
  <si>
    <t>Part I – Payee Information</t>
  </si>
  <si>
    <r>
      <t xml:space="preserve">Taxpayer Identification Number </t>
    </r>
    <r>
      <rPr>
        <i/>
        <sz val="8"/>
        <color theme="1"/>
        <rFont val="Arial"/>
        <family val="2"/>
      </rPr>
      <t>(TIN)</t>
    </r>
  </si>
  <si>
    <t>-</t>
  </si>
  <si>
    <r>
      <t xml:space="preserve">Payee’s Name </t>
    </r>
    <r>
      <rPr>
        <i/>
        <sz val="8"/>
        <color theme="1"/>
        <rFont val="Arial"/>
        <family val="2"/>
      </rPr>
      <t>(Last Name, First Name, Middle Name for Individual OR Registered Name for Non-Individual)</t>
    </r>
  </si>
  <si>
    <t>10-17 Consulit Technologies &amp; Services Inc.</t>
  </si>
  <si>
    <t>Registered Address</t>
  </si>
  <si>
    <t>4A</t>
  </si>
  <si>
    <t>ZIP Code</t>
  </si>
  <si>
    <t>5 Tiburcio Ext. Kruz na Ligas, Quezon City Metro Manila Philippines</t>
  </si>
  <si>
    <r>
      <t xml:space="preserve">Foreign Address, </t>
    </r>
    <r>
      <rPr>
        <i/>
        <sz val="8"/>
        <color theme="1"/>
        <rFont val="Arial"/>
        <family val="2"/>
      </rPr>
      <t xml:space="preserve">if applicable </t>
    </r>
  </si>
  <si>
    <t>Part II – Payor Information</t>
  </si>
  <si>
    <r>
      <t xml:space="preserve">Payor’s Name </t>
    </r>
    <r>
      <rPr>
        <i/>
        <sz val="8"/>
        <color theme="1"/>
        <rFont val="Arial"/>
        <family val="2"/>
      </rPr>
      <t>(Last Name, First Name, Middle Name for Individual OR Registered Name for Non-Individual)</t>
    </r>
  </si>
  <si>
    <t>ORIENTAL CONSULTANTS GLOBAL CO. LTD. - PHILIPPINE BRANCH</t>
  </si>
  <si>
    <t>8A</t>
  </si>
  <si>
    <t>UNIT 38C RUFINO PACIFIC TOWER, 6784 AYALA AVE., BRGY. SAN LORENZO, 4TH DIST., MAKATI CITY</t>
  </si>
  <si>
    <t>Part III – Details of Monthly Income Payments and Taxes Withheld</t>
  </si>
  <si>
    <t>Income Payments Subject to Expanded Withholding Tax</t>
  </si>
  <si>
    <t>ATC</t>
  </si>
  <si>
    <t>AMOUNT OF INCOME PAYMENTS</t>
  </si>
  <si>
    <t>Tax Withheld for the Quarter</t>
  </si>
  <si>
    <t>1st Month of the Quarter</t>
  </si>
  <si>
    <t>2nd Month of the Quarter</t>
  </si>
  <si>
    <t>3rd Month of the Quarter</t>
  </si>
  <si>
    <t>Total</t>
  </si>
  <si>
    <t>TAX RATE</t>
  </si>
  <si>
    <t>WC160</t>
  </si>
  <si>
    <t>Money Payments Subject to Withholding of Business Tax (Government &amp; Private)</t>
  </si>
  <si>
    <t xml:space="preserve">       We declare under the penalties of perjury that this certificate has been made in good faith, verified by us, and to the best of our knowledge and belief, is true and correct, pursuant to the provisions of the National Internal Revenue Code, as amended, and the regulations issued under authority thereof. Further, we give our consent to the processing of our information as contemplated under the *Data Privacy Act of 2012 (R.A. No. 10173) for legitimate and lawful purposes.</t>
  </si>
  <si>
    <r>
      <t xml:space="preserve">ELSA G. OCRETO
</t>
    </r>
    <r>
      <rPr>
        <sz val="8"/>
        <color theme="1"/>
        <rFont val="Arial"/>
        <family val="2"/>
      </rPr>
      <t>ASSISTANT GENERAL MANAGER, FINANCE &amp; ACCOUNTING /TIN 119-839-069</t>
    </r>
  </si>
  <si>
    <t xml:space="preserve">Signature over Printed Name of Payor/Payor’s Authorized Representative/Tax Agent </t>
  </si>
  <si>
    <t xml:space="preserve"> (Indicate Title/Designation and TIN)</t>
  </si>
  <si>
    <t>Tax Agent Accreditation No./</t>
  </si>
  <si>
    <r>
      <t xml:space="preserve">Date of Issue
</t>
    </r>
    <r>
      <rPr>
        <i/>
        <sz val="7"/>
        <color theme="1"/>
        <rFont val="Arial"/>
        <family val="2"/>
      </rPr>
      <t>(MM/DD/YYYY)</t>
    </r>
  </si>
  <si>
    <t>Date of Expiry</t>
  </si>
  <si>
    <t>Attorney’s Roll No. (if applicable)</t>
  </si>
  <si>
    <t>CONFORME:</t>
  </si>
  <si>
    <t xml:space="preserve">Signature over Printed Name of Payee/Payee’s Authorized Representative/Tax Agent </t>
  </si>
  <si>
    <t xml:space="preserve"> *NOTE: The BIR Data Privacy is in the BIR website (www.bir.gov.ph)  </t>
  </si>
  <si>
    <t>Date Prepared</t>
  </si>
  <si>
    <t>Description</t>
  </si>
  <si>
    <t>Tax Rate</t>
  </si>
  <si>
    <t>Job No.</t>
  </si>
  <si>
    <t>WC010</t>
  </si>
  <si>
    <t>PROFESSIONAL (LAWYERS, CPAS, ENGINEERS, ETC.) - IF GROSS INCOME FOR THE CURRENT YEAR DID NOT EXCEED P 720,000</t>
  </si>
  <si>
    <t>WC011</t>
  </si>
  <si>
    <t>PROFESSIONAL (LAWYERS, CPAS, ENGINEERS, ETC.) - IF GROSS INCOME EXCEEDS P 720,000</t>
  </si>
  <si>
    <t>WC020</t>
  </si>
  <si>
    <t>PROFESSIONAL ENTERTAINERS SUCH AS, BUT NOT LIMITED TO ACTORS AND ACTRESSES, SINGERS, LYRICISTS, COMPOSERS, EMCEES - IF GROSS INCOME FOR THE CURRENT YEAR DID NOT EXCEED P 720,000</t>
  </si>
  <si>
    <t>WC021</t>
  </si>
  <si>
    <t>PROFESSIONAL ENTERTAINERS SUCH AS, BUT NOT LIMITED TO ACTORS AND ACTRESSES, SINGERS, LYRICISTS, COMPOSERS, EMCEES - IF GROSS INCOME EXCEEDS P 720,000</t>
  </si>
  <si>
    <t>WC030</t>
  </si>
  <si>
    <t>PROFESSIONAL ATHLETES INCLUDING BASKETBALL PLAYERS, PELOTARIS AND JOCKEYS - IF GROSS INCOME FOR THE CURRENT YEAR DID NOT EXCEED P 720,000</t>
  </si>
  <si>
    <t>WC031</t>
  </si>
  <si>
    <t>PROFESSIONAL ATHLETES INCLUDING BASKETBALL PLAYERS, PELOTARIS AND JOCKEYS - IF GROSS INCOME EXCEEDS P 720,000</t>
  </si>
  <si>
    <t>WC040</t>
  </si>
  <si>
    <t>ALL DIRECTORS AND PRODUCERS INVOLVED IN MOVIES, STAGE, RADIO, TELEVISION AND MUSICAL PRODUCTIONS - IF GROSS INCOME FOR THE CURRENT YEAR DID NOT EXCEED P 720,000</t>
  </si>
  <si>
    <t>WC041</t>
  </si>
  <si>
    <t>ALL DIRECTORS AND PRODUCERS INVOLVED IN MOVIES, STAGE, RADIO, TELEVISION AND MUSICAL PRODUCTIONS - IF GROSS INCOME EXCEEDS P 720,000</t>
  </si>
  <si>
    <t>WC050</t>
  </si>
  <si>
    <t>MANAGEMENT AND TECHNICAL CONSULTANTS - IF GROSS INCOME FOR THE CURRENT YEAR DID NOT EXCEED P 720,000</t>
  </si>
  <si>
    <t>WC051</t>
  </si>
  <si>
    <t>MANAGEMENT AND TECHNICAL CONSULTANTS - IF GROSS INCOME EXCEEDS P 720,000</t>
  </si>
  <si>
    <t>WC060</t>
  </si>
  <si>
    <t>BUSINESS AND BOOKKEEPING AGENTS AND AGENCIES - IF GROSS INCOME FOR THE CURRENT YEAR DID NOT EXCEED P 720,000</t>
  </si>
  <si>
    <t>WC061</t>
  </si>
  <si>
    <t>BUSINESS AND BOOKKEEPING AGENTS AND AGENCIES - IF GROSS INCOME EXCEEDS P 720,000</t>
  </si>
  <si>
    <t>WC070</t>
  </si>
  <si>
    <t>INSURANCE AGENTS AND INSURANCE ADJUSTERS - IF GROSS INCOME FOR THE CURRENT YEAR DID NOT EXCEED P 720,000</t>
  </si>
  <si>
    <t>WC071</t>
  </si>
  <si>
    <t>INSURANCE AGENTS AND INSURANCE ADJUSTERS - IF GROSS INCOME EXCEEDS P 720,000</t>
  </si>
  <si>
    <t>WC080</t>
  </si>
  <si>
    <t>OTHER RECIPIENTS OF TALENT FEES - IF GROSS INCOME FOR THE CURRENT YEAR DID NOT EXCEED P 720,000</t>
  </si>
  <si>
    <t>WC081</t>
  </si>
  <si>
    <t>OTHER RECIPIENTS OF TALENT FEES - IF GROSS INCOME EXCEEDS P 720,000</t>
  </si>
  <si>
    <t>WC100</t>
  </si>
  <si>
    <t>RENTALS: ON GROSS RENTAL OR LEASE FOR THE CONTINUED USE OR POSSESSION OF PERSONAL PROPERTY IN EXCESS OF TEN THOUSAND PESOS (P 10,000) ANNUALLY AND REAL PROPERTY USED IN BUSINESS WHICH THE PAYOR OR OBLIGOR HAS NOT TAKEN TITLE OR IS NOT TAKING TITLE, OR IN WHICH HAS NO EQUITY; POLES, SATELLITES, TRANSMISSION FACILITIES AND BILLBOARDS</t>
  </si>
  <si>
    <t>WC110</t>
  </si>
  <si>
    <t>CINEMATOGRAPHIC FILM RENTALS AND OTHER PAYMENTS TO RESIDENT INDIVIDUALS AND CORPORATE CINEMATOGRAPHIC FILM OWNERS, LESSORS OR DISTRIBUTORS</t>
  </si>
  <si>
    <t>WC120</t>
  </si>
  <si>
    <t>INCOME PAYMENTS TO CERTAIN CONTRACTORS</t>
  </si>
  <si>
    <t>WC139</t>
  </si>
  <si>
    <t>GROSS COMMISSIONS OR SERVICE FEES OF CUSTOMS, INSURANCE, STOCK, IMMIGRATION AND COMMERCIAL BROKERS, FEES OF AGENTS OF PROFESSIONAL ENTERTAINERS AND REAL ESTATE SERVICE PRACTITIONERS (RESPS), (I.E. REAL ESTATE ONSULTANTS, REAL ESTATE APPRAISERS AND REAL ESTATE BROKERS) - IF GROSS INCOME FOR THE CURRENT YEAR DID NOT EXCEED P 720,000</t>
  </si>
  <si>
    <t>WC140</t>
  </si>
  <si>
    <t>GROSS COMMISSIONS OR SERVICE FEES OF CUSTOMS, INSURANCE, STOCK, IMMIGRATION AND COMMERCIAL BROKERS, FEES OF AGENTS OF PROFESSIONAL ENTERTAINERS AND REAL ESTATE SERVICE PRACTITIONERS (RESPS), (I.E. REAL ESTATE ONSULTANTS, REAL ESTATE APPRAISERS AND REAL ESTATE BROKERS) - IF GROSS INCOME EXCEEDS P 720,000</t>
  </si>
  <si>
    <t>WC150</t>
  </si>
  <si>
    <t>PROFESSIONAL FEES PAID TO MEDICAL PRACTITIONERS (INCLUDES DOCTORS OF MEDICINE DOCTORS OF VETERINARY SCIENCE AND DENTISTS) BY HOSPITALS AND CLINICS OR PAID DIRECTLY BY HEALTH MAINTENANCE ORGANIZATIONS (HMOS) AND/OR SIMILAR ESTABLISHMENTS - IF GROSS INCOME EXCEEDS P 720,000</t>
  </si>
  <si>
    <t>WC151</t>
  </si>
  <si>
    <t>PROFESSIONAL FEES PAID TO MEDICAL PRACTITIONERS (INCLUDES DOCTORS OF MEDICINE DOCTORS OF VETERINARY SCIENCE AND DENTISTS) BY HOSPITALS AND CLINICS OR PAID DIRECTLY BY HEALTH MAINTENANCE ORGANIZATIONS (HMOS) AND/OR SIMILAR ESTABLISHMENTS - IF GROSS INCOME FOR THE CURRENT YEAR DID NOT EXCEED P 720,000</t>
  </si>
  <si>
    <t>WC156</t>
  </si>
  <si>
    <t>INCOME PAYMENTS MADE BY CREDIT CARD COMPANIES</t>
  </si>
  <si>
    <t>WC157</t>
  </si>
  <si>
    <t>INCOME PAYMENTS MADE BY THE GOVERNMENT AND GOVERNMENT-OWNED AND CONTROLLED CORPORATIONS (GOCCS) TO ITS LOCAL/RESIDENT SUPPLIERS OF SERVICES OTHER THAN THOSE COVERED BY OTHER RATES OF WITHHOLDING TAX</t>
  </si>
  <si>
    <t>WC158</t>
  </si>
  <si>
    <t>INCOME PAYMENT MADE BY TOP WITHHOLDING AGENTS TO THEIR LOCAL/RESIDENT SUPPLIER OF GOODS OTHER THAN THOSE COVERED BY OTHER RATES OF WITHHOLDING TAX</t>
  </si>
  <si>
    <t>INCOME PAYMENT MADE BY TOP WITHHOLDING AGENTS TO THEIR LOCAL/RESIDENT SUPPLIER OF SERVICES OTHER THAN THOSE COVERED BY OTHER RATES OF WITHHOLDING TAX</t>
  </si>
  <si>
    <t>WC515</t>
  </si>
  <si>
    <t>COMMISSIONS, REBATES, DISCOUNTS AND OTHER SIMILAR CONSIDERATIONS PAID/ GRANTED TO INDEPENDENT AND/OR EXCLUSIVE SALES REPRESENTATIVES AND MARKETING AGENTS AND SUB-AGENTS OF COMPANIES, INCLUDING MULTI-LEVEL MARKETING COMPANIES - IF GROSS INCOME FOR THE CURRENT YEAR DID NOT EXCEED P 720,000</t>
  </si>
  <si>
    <t>WC516</t>
  </si>
  <si>
    <t>COMMISSIONS, REBATES, DISCOUNTS AND OTHER SIMILAR CONSIDERATIONS PAID/ GRANTED TO INDEPENDENT AND/OR EXCLUSIVE SALES REPRESENTATIVES AND MARKETING AGENTS AND SUB-AGENTS OF COMPANIES, INCLUDING MULTI-LEVEL MARKETING COMPANIES - IF GROSS INCOME EXCEEDS P 720,000</t>
  </si>
  <si>
    <t>WC535</t>
  </si>
  <si>
    <t>PAYMENTS MADE BY PRE-NEED COMPANIES TO FUNERAL PARLORS</t>
  </si>
  <si>
    <t>WC540</t>
  </si>
  <si>
    <t>TOLLING FEES PAID TO REFINERIES</t>
  </si>
  <si>
    <t>WC610</t>
  </si>
  <si>
    <t>INCOME PAYMENTS MADE TO SUPPLIERS OF AGRICULTURAL PRODUCTS IN EXCESS OF CUMULATIVE AMOUNT OF P 300,000 WITHIN THE SAME TAXABLE YEAR</t>
  </si>
  <si>
    <t>WC630</t>
  </si>
  <si>
    <t>INCOME PAYMENTS ON PURCHASES OF MINERALS, MINERAL PRODUCTS AND QUARRY RESOURCES, SUCH AS BUT NOT LIMITED TO SILVER, GOLD, MARBLE, GRANITE, GRAVEL, SAND, BOULDERS AND OTHER MINERAL PRODUCTS EXCEPT PURCHASES BY BANGKO SENTRAL NG PILIPINAS</t>
  </si>
  <si>
    <t>WC632</t>
  </si>
  <si>
    <t>INCOME PAYMENTS ON PURCHASES OF MINERALS, MINERAL PRODUCTS AND QUARRY RESOURCES BY BANGKO SENTRAL NG PILIPINAS (BSP) FROM GOLD MINERS/SUPPLIERS UNDER PD 1899, AS AMENDED BY RA NO. 7076</t>
  </si>
  <si>
    <t>WC640</t>
  </si>
  <si>
    <t>INCOME PAYMENTS MADE BY THE GOVERNMENT AND GOVERNMENT-OWNED AND CONTROLLED CORPORATIONS (GOCCS) TO ITS LOCAL/RESIDENT SUPPLIERS OF GOODS OTHER THAN THOSE COVERED BY OTHER RATES OF WITHHOLDING TAX</t>
  </si>
  <si>
    <t>INCOME PAYMENT MADE BY TOP WITHHOLDING AGENT TO THEIR LOCAL/RESIDENT SUPPLIER OF GOODS OTHER THAN THOSE COVERED BY</t>
  </si>
  <si>
    <t>WC650</t>
  </si>
  <si>
    <t>ON GROSS AMOUNT OF REFUND GIVEN BY MERALCO TO CUSTOMERS WITH ACTIVE CONTRACTS AS CLASSIFIED BY MERALCO</t>
  </si>
  <si>
    <t>WC651</t>
  </si>
  <si>
    <t>ON GROSS AMOUNT OF REFUND GIVEN BY MERALCO TO CUSTOMERS WITH TERMINATED CONTRACTS AS CLASSIFIED BY MERALCO</t>
  </si>
  <si>
    <t>WC660</t>
  </si>
  <si>
    <t>ON GROSS AMOUNT OF INTEREST ON THE REFUND OF METER DEPOSIT WHETHER PAID DIRECTLY TO THE CUSTOMERS OR APPLIED AGAINST CUSTOMERS BILLINGS OF RESIDENTIAL AND GENERAL SERVICE CUSTOMERS WHOSE MONTHLY ELECTRICITY CONSUMPTION EXCEEDS 200 KWH AS CLASSIFIED BY MERALCO</t>
  </si>
  <si>
    <t>WC661</t>
  </si>
  <si>
    <t>ON GROSS AMOUNT OF INTEREST ON THE REFUND OF METER DEPOSIT WHETHER PAID DIRECTLY TO THE CUSTOMERS OR APPLIED AGAINST CUSTOMERS BILLINGS OF NON-RESIDENTIAL CUSTOMERS WHOSE MONTHLY ELECTRICITY CONSUMPTION EXCEEDS 200 KWH AS CLASSIFIED BY MERALCO</t>
  </si>
  <si>
    <t>Mobile Load</t>
  </si>
  <si>
    <t>WC662</t>
  </si>
  <si>
    <t>ON GROSS AMOUNT OF INTEREST ON THE REFUND OF METER DEPOSIT WHETHER PAID DIRECTLY TO THE CUSTOMERS OR APPLIED AGAINST CUSTOMERS BILLINGS OF RESIDENTIAL AND GENERAL SERVICE CUSTOMERS WHOSE MONTHLY ELECTRICITY CONSUMPTION EXCEEDS 200 KWH AS CLASSIFIED BY OTHER ELECTRIC DISTRIBUTION UTILITIES (DU)</t>
  </si>
  <si>
    <t># 0053</t>
  </si>
  <si>
    <t>WC663</t>
  </si>
  <si>
    <t>ON GROSS AMOUNT OF INTEREST ON THE REFUND OF METER DEPOSIT WHETHER PAID DIRECTLY TO THE CUSTOMERS OR APPLIED AGAINST CUSTOMERS BILLINGS OF NON- RESIDENTIAL CUSTOMERS WHOSE MONTHLY ELECTRICITY CONSUMPTION EXCEEDS 200 KWH AS CLASSIFIED BY OTHER ELECTRIC DISTRIBUTION UTILITIES (DU)</t>
  </si>
  <si>
    <t>WC680</t>
  </si>
  <si>
    <t>INCOME PAYMENTS MADE BY POLITICAL PARTIES AND CANDIDATES OF LOCAL AND NATIONAL ELECTIONS ON ALL THEIR PURCHASES OF GOODS AND SERVICES RELATED TO CAMPAIGN EXPENDITURES, AND INCOME PAYMENTS MADE BY INDIVIDUALS OR JURIDICAL PERSONS FOR THEIR PURCHASES OF GOODS AND SERVICES INTENDED TO BE GIVEN AS CAMPAIGN CONTRIBUTIONS TO POLITICAL PARTIES AND CANDIDATES</t>
  </si>
  <si>
    <t>WC690</t>
  </si>
  <si>
    <t>INCOME PAYMENTS RECEIVED BY REAL ESTATE INVESTMENT TRUST (REIT)</t>
  </si>
  <si>
    <t>WC710</t>
  </si>
  <si>
    <t>INTEREST INCOME DERIVED FROM ANY OTHER DEBT INSTRUMENTS NOT WITHIN THE COVERAGE OF DEPOSIT SUBSTITUTES AND REVENUE REGULATIONS NO. 14-2012</t>
  </si>
  <si>
    <t>WC720</t>
  </si>
  <si>
    <t>INCOME PAYMENTS ON LOCALLY PRODUCED RAW SUGAR</t>
  </si>
  <si>
    <t>WI010</t>
  </si>
  <si>
    <t>PROFESSIONAL (LAWYERS, CPAS, ENGINEERS, ETC.) - IF GROSS INCOME FOR THE CURRENT YEAR DID NOT EXCEED P 3M</t>
  </si>
  <si>
    <t>WI011</t>
  </si>
  <si>
    <t>PROFESSIONAL (LAWYERS, CPAS, ENGINEERS, ETC.) - IF GROSS INCOME IS MORE THAN P 3M OR VAT REGISTERED REGARDLESS OF AMOUNT</t>
  </si>
  <si>
    <t>WI020</t>
  </si>
  <si>
    <t>PROFESSIONAL ENTERTAINERS SUCH AS, BUT NOT LIMITED TO ACTORS AND ACTRESSES, SINGERS, LYRICISTS, COMPOSERS, EMCEES - IF GROSS INCOME FOR THE CURRENT YEAR DID NOT EXCEED P 3M</t>
  </si>
  <si>
    <t>WI021</t>
  </si>
  <si>
    <t>PROFESSIONAL ENTERTAINERS SUCH AS, BUT NOT LIMITED TO ACTORS AND ACTRESSES, SINGERS, LYRICISTS, COMPOSERS, EMCEES - IF GROSS INCOME IS MORE THAN P 3M OR VAT REGISTERED REGARDLESS OF AMOUNT</t>
  </si>
  <si>
    <t>WI030</t>
  </si>
  <si>
    <t>PROFESSIONAL ATHLETES INCLUDING BASKETBALL PLAYERS, PELOTARIS AND JOCKEYS - IF GROSS INCOME FOR THE CURRENT YEAR DID NOT EXCEED P 3M</t>
  </si>
  <si>
    <t>WI031</t>
  </si>
  <si>
    <t>PROFESSIONAL ATHLETES INCLUDING BASKETBALL PLAYERS, PELOTARIS AND JOCKEYS - IF GROSS INCOME IS MORE THAN P 3M OR VAT REGISTERED REGARDLESS OF AMOUNT</t>
  </si>
  <si>
    <t>WI040</t>
  </si>
  <si>
    <t>ALL DIRECTORS AND PRODUCERS INVOLVED IN MOVIES, STAGE, RADIO, TELEVISION AND MUSICAL PRODUCTIONS - IF GROSS INCOME FOR THE CURRENT YEAR DID NOT EXCEED P 3M</t>
  </si>
  <si>
    <t>WI041</t>
  </si>
  <si>
    <t>ALL DIRECTORS AND PRODUCERS INVOLVED IN MOVIES, STAGE, RADIO, TELEVISION AND MUSICAL PRODUCTIONS - IF GROSS INCOME IS MORE THAN P 3M OR VAT REGISTERED REGARDLESS OF AMOUNT</t>
  </si>
  <si>
    <t>WI050</t>
  </si>
  <si>
    <t>MANAGEMENT AND TECHNICAL CONSULTANTS - IF GROSS INCOME FOR THE CURRENT YEAR DID NOT EXCEED P 3M</t>
  </si>
  <si>
    <t>WI051</t>
  </si>
  <si>
    <t>MANAGEMENT AND TECHNICAL CONSULTANTS - IF GROSS INCOME IS MORE THAN P 3M OR VAT REGISTERED REGARDLESS OF AMOUNT</t>
  </si>
  <si>
    <t>WI060</t>
  </si>
  <si>
    <t>BUSINESS AND BOOKKEEPING AGENTS AND AGENCIES - IF GROSS INCOME FOR THE CURRENT YEAR DID NOT EXCEED P 3M</t>
  </si>
  <si>
    <t>WI061</t>
  </si>
  <si>
    <t>BUSINESS AND BOOKKEEPING AGENTS AND AGENCIES -IF GROSS INCOME IS MORE THAN P 3M OR VAT REGISTERED REGARDLESS OF AMOUNT</t>
  </si>
  <si>
    <t>WI070</t>
  </si>
  <si>
    <t>INSURANCE AGENTS AND INSURANCE ADJUSTERS - IF GROSS INCOME FOR THE CURRENT YEAR DID NOT EXCEED P 3M</t>
  </si>
  <si>
    <t>WI071</t>
  </si>
  <si>
    <t>INSURANCE AGENTS AND INSURANCE ADJUSTERS - IF GROSS INCOME IS MORE THAN P 3M OR VAT REGISTERED REGARDLESS OF AMOUNT</t>
  </si>
  <si>
    <t>WI080</t>
  </si>
  <si>
    <t>OTHER RECIPIENTS OF TALENT FEES - IF GROSS INCOME FOR THE CURRENT YEAR DID NOT EXCEED P 3M</t>
  </si>
  <si>
    <t>TAKURO INOUE
GENERAL MANAGER / TIN 196-129-996-00000</t>
  </si>
  <si>
    <t>WI081</t>
  </si>
  <si>
    <t>OTHER RECIPIENTS OF TALENT FEES - IF GROSS INCOME IS MORE THAN P 3M OR VAT REGISTERED REGARDLESS OF AMOUNT</t>
  </si>
  <si>
    <t>WI090</t>
  </si>
  <si>
    <t>FEES OF DIRECTORS WHO ARE NOT EMPLOYEES OF THE COMPANY - IF GROSS INCOME FOR THE CURRENT YEAR DID NOT EXCEED P 3M</t>
  </si>
  <si>
    <t>WI091</t>
  </si>
  <si>
    <t>FEES OF DIRECTORS WHO ARE NOT EMPLOYEES OF THE COMPANY - IF GROSS INCOME IS MORE THAN P 3M OR VAT REGISTERED REGARDLESS OF AMOUNT</t>
  </si>
  <si>
    <t>WI100</t>
  </si>
  <si>
    <t>RENTALS: ON GROSS RENTAL OR LEASE FOR THE CONTINUED USE OR POSSESSION OF PERSONAL PROPERTY IN EXCESS OF TEN THOUSAND PESOS (P 10,000) ANNUALLY AND REAL PROPERTY USED IN BUSINESS WHICH THE PAYOR OR OBLIGOR HAS NOT TAKEN TITLE OR IS NOT TAKING TITLE, OR IN WHICH HAS NO EQUITY; POLES, SATELLITES , TRANSMISSION FACILITIES AND BILLBOARDS</t>
  </si>
  <si>
    <t>WI110</t>
  </si>
  <si>
    <t>WI120</t>
  </si>
  <si>
    <t>WI130</t>
  </si>
  <si>
    <t>INCOME DISTRIBUTION TO THE BENEFICIARIES OF ESTATES AND TRUSTS</t>
  </si>
  <si>
    <t>WI139</t>
  </si>
  <si>
    <t>GROSS COMMISSIONS OR SERVICE FEES OF CUSTOMS, INSURANCE, STOCK, IMMIGRATION AND COMMERCIAL BROKERS, FEES OF AGENTS OF PROFESSIONAL ENTERTAINERS AND REAL ESTATE SERVICE PRACTITIONERS (RESPS), (I.E. REAL ESTATE CONSULTANTS, REAL ESTATE APPRAISERS AND REAL ESTATE BROKERS) - IF GROSS INCOME FOR THE CURRENT YEAR DID NOT EXCEED P 3M</t>
  </si>
  <si>
    <t>WI140</t>
  </si>
  <si>
    <t>GROSS COMMISSIONS OR SERVICE FEES OF CUSTOMS, INSURANCE, STOCK, IMMIGRATION AND COMMERCIAL BROKERS, FEES OF AGENTS OF PROFESSIONAL ENTERTAINERS AND REAL ESTATE SERVICE PRACTITIONERS (RESPS), (I.E. REAL ESTATE CONSULTANTS, REAL ESTATE APPRAISERS AND REAL ESTATE BROKERS) - IF GROSS INCOME IS MORE THAN P 3M OR VAT REGISTERED REGARDLESS OF AMOUNT</t>
  </si>
  <si>
    <t>WI150</t>
  </si>
  <si>
    <t>PROFESSIONAL FEES PAID TO MEDICAL PRACTITIONERS (INCLUDES DOCTORS OF MEDICINE, DOCTORS OF VETERINARY SCIENCE AND DENTISTS) BY HOSPITALS AND CLINICS OR PAID DIRECTLY BY HEALTH MAINTENANCE ORGANIZATIONS (HMOS) AND/OR SIMILAR ESTABLISHMENTS - IF GROSS INCOME IS MORE THAN P 3M OR VAT REGISTERED REGARDLESS OF AMOUNT</t>
  </si>
  <si>
    <t>WI151</t>
  </si>
  <si>
    <t>PROFESSIONAL FEES PAID TO MEDICAL PRACTITIONERS (INCLUDES DOCTORS OF MEDICINE, DOCTORS OF VETERINARY SCIENCE AND DENTISTS) BY HOSPITALS AND CLINICS OR PAID DIRECTLY BY HEALTH MAINTENANCE ORGANIZATIONS (HMOS) AND/OR SIMILAR ESTABLISHMENTS - IF GROSS INCOME FOR THE CURRENT YEAR DID NOT EXCEED P 3M</t>
  </si>
  <si>
    <t>WI152</t>
  </si>
  <si>
    <t>PAYMENT BY THE GENERAL PROFESSIONAL PARTNERSHIPS (GPPS) TO ITS PARTNERS - IF GROSS INCOME FOR THE CURRENT YEAR DID NOT EXCEED P 720,000</t>
  </si>
  <si>
    <t>WI153</t>
  </si>
  <si>
    <t>PAYMENT BY THE GENERAL PROFESSIONAL PARTNERSHIPS (GPPS) TO ITS PARTNERS - IF GROSS INCOME EXCEEDS P 720,000</t>
  </si>
  <si>
    <t>WI156</t>
  </si>
  <si>
    <t>WI157</t>
  </si>
  <si>
    <t>WI158</t>
  </si>
  <si>
    <t>WI159</t>
  </si>
  <si>
    <t>ADDITIONAL INCOME PAYMENTS TO GOVERNMENT PERSONNEL FROM IMPORTERS, SHIPPING AND AIRLINE COMPANIES OR THEIR AGENTS FOR OVERTIME SERVICES</t>
  </si>
  <si>
    <t>WI160</t>
  </si>
  <si>
    <t>WI515</t>
  </si>
  <si>
    <t>COMMISSIONS, REBATES, DISCOUNTS AND OTHER SIMILAR CONSIDERATIONS PAID/GRANTED TO INDEPENDENT AND/OR EXCLUSIVE SALES REPRESENTATIVES AND MARKETING AGENTS AND SUB-AGENTS OF COMPANIES, INCLUDING MULTI-LEVEL MARKETING COMPANIES - IF GROSS INCOME FOR THE CURRENT YEAR DID NOT EXCEED P 3M</t>
  </si>
  <si>
    <t>WI516</t>
  </si>
  <si>
    <t>COMMISSIONS, REBATES, DISCOUNTS AND OTHER SIMILAR CONSIDERATIONS PAID/GRANTED TO INDEPENDENT AND/OR EXCLUSIVE SALES REPRESENTATIVES AND MARKETING AGENTS AND SUB-AGENTS OF COMPANIES, INCLUDING MULTI-LEVEL MARKETING COMPANIES - IF GROSS INCOME IS MORE THAN P 3M OR VAT REGISTERED REGARDLESS OF AMOUNT</t>
  </si>
  <si>
    <t>WI530</t>
  </si>
  <si>
    <t>GROSS PAYMENTS TO EMBALMERS BY FUNERAL PARLORS</t>
  </si>
  <si>
    <t>WI535</t>
  </si>
  <si>
    <t>WI540</t>
  </si>
  <si>
    <t>WI610</t>
  </si>
  <si>
    <t>WI630</t>
  </si>
  <si>
    <t>WI632</t>
  </si>
  <si>
    <t>WI640</t>
  </si>
  <si>
    <t>WI650</t>
  </si>
  <si>
    <t>WI651</t>
  </si>
  <si>
    <t>WI660</t>
  </si>
  <si>
    <t>WI661</t>
  </si>
  <si>
    <t>WI662</t>
  </si>
  <si>
    <t>WI663</t>
  </si>
  <si>
    <t>ON GROSS AMOUNT OF INTEREST ON THE REFUND OF METER DEPOSIT WHETHER PAID DIRECTLY TO THE CUSTOMERS OR APPLIED AGAINST CUSTOMERS ILLINGS OF NON-RESIDENTIAL CUSTOMERS WHOSE MONTHLY ELECTRICITY CONSUMPTION EXCEEDS 200 KWH AS CLASSIFIED BY OTHER ELECTRIC DISTRIBUTION UTILITIES (DU)</t>
  </si>
  <si>
    <t>WI680</t>
  </si>
  <si>
    <t>WI710</t>
  </si>
  <si>
    <t>WI720</t>
  </si>
  <si>
    <t>MERALCO</t>
  </si>
  <si>
    <t>SCHEDULES OF ALPHANUMERIC TAX CODES</t>
  </si>
  <si>
    <t>A</t>
  </si>
  <si>
    <t>Income Payments subject to Expanded Withholding Tax</t>
  </si>
  <si>
    <t>Individual</t>
  </si>
  <si>
    <t>Corporation</t>
  </si>
  <si>
    <t>Professional (Lawyers, CPAs, Engineers, etc.)</t>
  </si>
  <si>
    <t>Payment by the General Professional Partnerships (GPPs) to its partners</t>
  </si>
  <si>
    <r>
      <t xml:space="preserve">If gross income for the current year did not exceed </t>
    </r>
    <r>
      <rPr>
        <strike/>
        <sz val="6.5"/>
        <color theme="1"/>
        <rFont val="Arial Narrow"/>
        <family val="2"/>
      </rPr>
      <t>P</t>
    </r>
    <r>
      <rPr>
        <sz val="6.5"/>
        <color theme="1"/>
        <rFont val="Arial Narrow"/>
        <family val="2"/>
      </rPr>
      <t xml:space="preserve"> 3M</t>
    </r>
  </si>
  <si>
    <r>
      <t xml:space="preserve">If gross income for the current year did not exceed </t>
    </r>
    <r>
      <rPr>
        <strike/>
        <sz val="6.5"/>
        <color theme="1"/>
        <rFont val="Arial Narrow"/>
        <family val="2"/>
      </rPr>
      <t>P</t>
    </r>
    <r>
      <rPr>
        <sz val="6.5"/>
        <color theme="1"/>
        <rFont val="Arial Narrow"/>
        <family val="2"/>
      </rPr>
      <t xml:space="preserve"> 720,000</t>
    </r>
  </si>
  <si>
    <r>
      <t xml:space="preserve">If gross income is more than </t>
    </r>
    <r>
      <rPr>
        <strike/>
        <sz val="6.5"/>
        <color theme="1"/>
        <rFont val="Arial Narrow"/>
        <family val="2"/>
      </rPr>
      <t>P</t>
    </r>
    <r>
      <rPr>
        <sz val="6.5"/>
        <color theme="1"/>
        <rFont val="Arial Narrow"/>
        <family val="2"/>
      </rPr>
      <t xml:space="preserve"> 3M or VAT Registered regardless of amount</t>
    </r>
  </si>
  <si>
    <r>
      <t xml:space="preserve">If gross income exceeds </t>
    </r>
    <r>
      <rPr>
        <strike/>
        <sz val="6.5"/>
        <color theme="1"/>
        <rFont val="Arial Narrow"/>
        <family val="2"/>
      </rPr>
      <t>P</t>
    </r>
    <r>
      <rPr>
        <sz val="6.5"/>
        <color theme="1"/>
        <rFont val="Arial Narrow"/>
        <family val="2"/>
      </rPr>
      <t xml:space="preserve"> 720,000</t>
    </r>
  </si>
  <si>
    <t>Income payments made by credit card companies</t>
  </si>
  <si>
    <t>Additional income payments to government personnel from importers, shipping</t>
  </si>
  <si>
    <t>and airline companies or their agents for overtime services</t>
  </si>
  <si>
    <t>Professional entertainers such as, but not limited to actors and actresses, singers,</t>
  </si>
  <si>
    <t>Income payments made by the government and government-owned and</t>
  </si>
  <si>
    <t xml:space="preserve">lyricist, composers, emcees </t>
  </si>
  <si>
    <t xml:space="preserve">controlled corporations (GOCCs) to its local/resident suppliers of goods </t>
  </si>
  <si>
    <t>If gross income for the current year did not exceed P 3M</t>
  </si>
  <si>
    <t>other than those covered by other rates of withholding tax</t>
  </si>
  <si>
    <t>If gross income is more than P 3M or VAT Registered regardless of amount</t>
  </si>
  <si>
    <t xml:space="preserve">controlled corporations (GOCCs) to its local/resident suppliers of services </t>
  </si>
  <si>
    <t xml:space="preserve">lyricists, composers, emcees </t>
  </si>
  <si>
    <t>If gross income for the current year did not exceed P 720,000</t>
  </si>
  <si>
    <t>Income payment made by top withholding agents to their local/resident supplier</t>
  </si>
  <si>
    <t>If gross income exceeds P 720,000</t>
  </si>
  <si>
    <t>of goods other than those covered by  other rates of withholding tax</t>
  </si>
  <si>
    <t>Professional athletes including basketball players, pelotaris and jockeys</t>
  </si>
  <si>
    <t>of services other than those covered by other rates of withholding tax</t>
  </si>
  <si>
    <t xml:space="preserve">Commissions, rebates, discounts and other similar considerations paid/granted to </t>
  </si>
  <si>
    <t>independent and/or exclusive sales representatives and marketing agents and sub-</t>
  </si>
  <si>
    <t>agents of companies, including multi-level marketing companies</t>
  </si>
  <si>
    <t xml:space="preserve"> If gross income for the current year did not exceed P 3M</t>
  </si>
  <si>
    <t xml:space="preserve">All directors and producers involved in movies, stage, radio, television and musical </t>
  </si>
  <si>
    <t xml:space="preserve"> If gross income is more than P 3M or VAT Registered regardless of amount</t>
  </si>
  <si>
    <t>productions</t>
  </si>
  <si>
    <t>Commissions, rebates, discounts and other similar considerations paid/ granted</t>
  </si>
  <si>
    <t>to independent and/or exclusive sales representatives and marketing agents</t>
  </si>
  <si>
    <t>and sub-agents of companies, including multi-level marketing companies</t>
  </si>
  <si>
    <t xml:space="preserve">  If gross income for the current year did not exceed P 720,000</t>
  </si>
  <si>
    <t xml:space="preserve">  If gross income exceeds P 720,000</t>
  </si>
  <si>
    <t>Gross payments to embalmers by funeral parlors</t>
  </si>
  <si>
    <t>Payments made by pre-need companies to funeral parlors</t>
  </si>
  <si>
    <t>Management and technical consultants</t>
  </si>
  <si>
    <t>Tolling fees paid to refineries</t>
  </si>
  <si>
    <t>Income payments made to suppliers of agricultural products in excess</t>
  </si>
  <si>
    <t>of cumulative amount of P 300,000 within the same taxable year</t>
  </si>
  <si>
    <t>Income payments on purchases of minerals, mineral products and quarry</t>
  </si>
  <si>
    <t>such as but not limited to silver, gold, marble, granite, gravel, sand, boulders</t>
  </si>
  <si>
    <t>and other mineral products except purchases by Bangko Sentral ng Pilipinas</t>
  </si>
  <si>
    <t>Business and bookkeeping agents and agencies</t>
  </si>
  <si>
    <t>resources by Bangko Sentral ng Pilipinas (BSP) from gold miners/suppliers under</t>
  </si>
  <si>
    <t>PD 1899, as amended by RA No. 7076</t>
  </si>
  <si>
    <t>On gross amount of refund given by MERALCO to customers with</t>
  </si>
  <si>
    <t xml:space="preserve">  WI650</t>
  </si>
  <si>
    <t>active contracts as classified by MERALCO</t>
  </si>
  <si>
    <t xml:space="preserve">  WI651</t>
  </si>
  <si>
    <t>Insurance agents and insurance adjusters</t>
  </si>
  <si>
    <t>terminated contracts as classified by MERALCO</t>
  </si>
  <si>
    <t>On gross amount of interest on the refund of meter deposit whether paid directly to</t>
  </si>
  <si>
    <t xml:space="preserve">  WI660</t>
  </si>
  <si>
    <t>the customers or applied against customer’s billings of Residential and General</t>
  </si>
  <si>
    <t xml:space="preserve">Service customers whose monthly electricity consumption exceeds 200 kwh as </t>
  </si>
  <si>
    <t>classified by MERALCO</t>
  </si>
  <si>
    <t>Other recipients of talent fees</t>
  </si>
  <si>
    <t>the customers or applied against customer’s billings of  Non- Residential customers</t>
  </si>
  <si>
    <t xml:space="preserve">whose monthly electricity consumption exceeds 200 kwh as classified by </t>
  </si>
  <si>
    <t>Fees of directors who are not employees of the company</t>
  </si>
  <si>
    <t>classified by other electric Distribution Utilities (DU)</t>
  </si>
  <si>
    <t>the customers or applied against customer’s billings of  Non-Residential customers</t>
  </si>
  <si>
    <t xml:space="preserve">Rentals: On gross rental or lease for the continued use or possession of personal </t>
  </si>
  <si>
    <t xml:space="preserve">whose monthly electricity consumption exceeds 200 kwh as classified by other </t>
  </si>
  <si>
    <t xml:space="preserve">property in excess of Ten thousand pesos (P 10,000) annually and real property </t>
  </si>
  <si>
    <t>electric Distribution Utilities (DU)</t>
  </si>
  <si>
    <t xml:space="preserve">used in business which the payor or obligor has not taken title or is not taking title, </t>
  </si>
  <si>
    <t>Income payments made by political parties and candidates of local and national</t>
  </si>
  <si>
    <t>or in which has no equity; poles, satellites, transmission facilities and billboards</t>
  </si>
  <si>
    <t>elections on all their purchases of goods and services related to campaign</t>
  </si>
  <si>
    <t>Cinematographic film rentals and other payments to resident individuals and</t>
  </si>
  <si>
    <t>expenditures, and income payments made by individuals or juridical persons for</t>
  </si>
  <si>
    <t>corporate cinematographic film owners, lessors or distributors</t>
  </si>
  <si>
    <t xml:space="preserve">their purchases of goods and services intended to be given as campaign </t>
  </si>
  <si>
    <t xml:space="preserve">Income payments to certain contractors </t>
  </si>
  <si>
    <t>contributions to political parties and candidates</t>
  </si>
  <si>
    <t>Income distribution to the beneficiaries of estates and trusts</t>
  </si>
  <si>
    <t>Income payments received by Real Estate Investment Trust (REIT)</t>
  </si>
  <si>
    <t>Gross commissions or service fees of customs, insurance, stock, immigration and</t>
  </si>
  <si>
    <t>Interest income derived from any other debt instruments not within the</t>
  </si>
  <si>
    <t>commercial brokers, fees of agents of professional entertainers and real estate</t>
  </si>
  <si>
    <t xml:space="preserve">coverage of deposit substitutes and Revenue Regulations No. 14-2012 </t>
  </si>
  <si>
    <t xml:space="preserve">service Practitioners (RESPs), (i.e. real estate consultants, real estate appraisers </t>
  </si>
  <si>
    <t>Income payments on locally produced raw sugar</t>
  </si>
  <si>
    <t>and real estate brokers)</t>
  </si>
  <si>
    <t>Sale of Real Property (Ordinary Asset)</t>
  </si>
  <si>
    <t>WI555</t>
  </si>
  <si>
    <t>WC555</t>
  </si>
  <si>
    <t>WI556</t>
  </si>
  <si>
    <t>WC556</t>
  </si>
  <si>
    <t>WI557</t>
  </si>
  <si>
    <t>WC557</t>
  </si>
  <si>
    <t>WI558</t>
  </si>
  <si>
    <t>WC558</t>
  </si>
  <si>
    <t>commercial  brokers, fees of agents of professional entertainers and real estate</t>
  </si>
  <si>
    <t>B Money Payments Subject to Withholding of Business Tax by Government or Private Payor (Individual &amp; Corporate)</t>
  </si>
  <si>
    <t>Persons Exempt from VAT under Sec. 109BB (creditable)-Government Withholding</t>
  </si>
  <si>
    <t>WB080</t>
  </si>
  <si>
    <t>Agent</t>
  </si>
  <si>
    <t xml:space="preserve">Persons Exempt from VAT under Sec. 109BB (creditable)-Private Withholding </t>
  </si>
  <si>
    <t>WB082</t>
  </si>
  <si>
    <t>Professional fees paid to medical practitioners (includes doctors of medicine,</t>
  </si>
  <si>
    <t xml:space="preserve">doctors of veterinary science &amp; dentists) by hospitals &amp; clinics or paid directly by </t>
  </si>
  <si>
    <t>VAT Withholding on Purchases of Goods (with waiver of privilege to claim input tax</t>
  </si>
  <si>
    <t>WV012</t>
  </si>
  <si>
    <t>Health Maintenance Organizations (HMOs) and/or similar establishments</t>
  </si>
  <si>
    <t>credit) (creditable)</t>
  </si>
  <si>
    <t>VAT Withholding on Purchases of Services (with waiver of privilege to claim input</t>
  </si>
  <si>
    <t>WV022</t>
  </si>
  <si>
    <t>tax credit) (creditable)</t>
  </si>
  <si>
    <t xml:space="preserve">Professional fees paid to medical practitioners (includes doctors of medicine </t>
  </si>
  <si>
    <t>Health Maintenance  Organizations (HMOs) and/or similar establishments</t>
  </si>
  <si>
    <t>C Money Payments Subject to Withholding of Business Tax by Government Payor Only</t>
  </si>
  <si>
    <t>Tax on Carriers and Keepers of Garages</t>
  </si>
  <si>
    <t>WB030</t>
  </si>
  <si>
    <t>Tax on Other Non-Banks Financial Intermediaries not Performing Quasi-Banking</t>
  </si>
  <si>
    <t>Franchise Tax on Gas and Utilities</t>
  </si>
  <si>
    <t>WB040</t>
  </si>
  <si>
    <t>Functions</t>
  </si>
  <si>
    <t>Franchise Tax on radio &amp; radio &amp; TV broadcasting companies whose annual gross receipts do</t>
  </si>
  <si>
    <t>WB050</t>
  </si>
  <si>
    <t>A.</t>
  </si>
  <si>
    <t>On interest, commissions and discounts from lending activities as well as Income</t>
  </si>
  <si>
    <t>not exceed P10M &amp; who are not VAT-registered taxpayers</t>
  </si>
  <si>
    <t>from financial leasing, on the basis of the remaining maturities of instrument from</t>
  </si>
  <si>
    <t>Tax on Life Insurance Premiums</t>
  </si>
  <si>
    <t>WB070</t>
  </si>
  <si>
    <t>which such receipt are derived</t>
  </si>
  <si>
    <t>Tax on Overseas Dispatch, Message or Conversation from the Philippines</t>
  </si>
  <si>
    <t>WB090</t>
  </si>
  <si>
    <t>Maturity period is five years or less</t>
  </si>
  <si>
    <t>WB108</t>
  </si>
  <si>
    <t>Tax on Banks and Non-Bank Financial Intermediaries Performing Quasi Banking Functions</t>
  </si>
  <si>
    <t>Maturity period is more than five years</t>
  </si>
  <si>
    <t>WB109</t>
  </si>
  <si>
    <t>A. On interest, commissions and discounts from lending activities as well as income from financial</t>
  </si>
  <si>
    <t>B.</t>
  </si>
  <si>
    <t>On all other items treated as gross income under the code</t>
  </si>
  <si>
    <t>WB110</t>
  </si>
  <si>
    <t xml:space="preserve">     leasing, on the basis of the remaining maturities of instrument from which such receipt are derived</t>
  </si>
  <si>
    <t>Tax on Cockpits</t>
  </si>
  <si>
    <t>WB140</t>
  </si>
  <si>
    <t>WB301</t>
  </si>
  <si>
    <t>Tax on amusement places, such as cabarets, night and day clubs, videoke bars, karaoke bars,</t>
  </si>
  <si>
    <t>WB150</t>
  </si>
  <si>
    <t>WB303</t>
  </si>
  <si>
    <t>karaoke television, karaoke boxes, music lounges and other similar establishments</t>
  </si>
  <si>
    <t>B. On dividends and equity shares and net income of subsidiaries</t>
  </si>
  <si>
    <t>WB102</t>
  </si>
  <si>
    <t>Tax on Boxing exhibitions</t>
  </si>
  <si>
    <t>WB160</t>
  </si>
  <si>
    <t xml:space="preserve">C. On royalties, rentals of property, real or personal, profits from exchange        </t>
  </si>
  <si>
    <t>WB103</t>
  </si>
  <si>
    <t>Tax on Professional basketball games</t>
  </si>
  <si>
    <t>WB170</t>
  </si>
  <si>
    <t xml:space="preserve">     and all other items treated as gross income under the Code</t>
  </si>
  <si>
    <t>Tax on jai-alai and race tracks</t>
  </si>
  <si>
    <t>WB180</t>
  </si>
  <si>
    <t xml:space="preserve">D. On net trading gains within the taxable year on foreign currency, debt </t>
  </si>
  <si>
    <t>WB104</t>
  </si>
  <si>
    <t>Tax on sale, barter or exchange of stocks listed and traded through Local Stock exchange</t>
  </si>
  <si>
    <t>WB200</t>
  </si>
  <si>
    <t xml:space="preserve">     securities, derivatives and other similar financial instruments</t>
  </si>
  <si>
    <t>Tax on shares of stock sold or exchanged through initial and secondary public offering</t>
  </si>
  <si>
    <t>Business tax on Agents of Foreign Insurance Companies - Owner of the Property</t>
  </si>
  <si>
    <t>WB121</t>
  </si>
  <si>
    <t xml:space="preserve">Not over 25%                                                                                              </t>
  </si>
  <si>
    <t>WB201</t>
  </si>
  <si>
    <t>Tax on International Carriers</t>
  </si>
  <si>
    <t>WB130</t>
  </si>
  <si>
    <t xml:space="preserve">Over 25% but not exceeding 33 1/3%                                                         </t>
  </si>
  <si>
    <t>WB202</t>
  </si>
  <si>
    <t>Business Tax on Agents of Foreign Insurance Companies - Insurance Age</t>
  </si>
  <si>
    <t>WB120</t>
  </si>
  <si>
    <t xml:space="preserve">Over 33 1/3%                                                                                               </t>
  </si>
  <si>
    <t>WB203</t>
  </si>
  <si>
    <t>Business Tax on Agents of Foreign Insurance Companies - Owner of the Property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</si>
</sst>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yy"/>
    <numFmt numFmtId="165" formatCode="yyyy/mm/dd"/>
  </numFmts>
  <fonts count="26">
    <font>
      <sz val="11"/>
      <color theme="1"/>
      <name val="Calibri"/>
      <family val="2"/>
      <scheme val="minor"/>
    </font>
    <font>
      <sz val="8"/>
      <color theme="1"/>
      <name val="Arial"/>
      <family val="2"/>
    </font>
    <font>
      <b/>
      <sz val="8"/>
      <color theme="1"/>
      <name val="Arial"/>
      <family val="2"/>
    </font>
    <font>
      <b/>
      <sz val="16"/>
      <color theme="1"/>
      <name val="Arial"/>
      <family val="2"/>
    </font>
    <font>
      <i/>
      <sz val="8"/>
      <color theme="1"/>
      <name val="Arial"/>
      <family val="2"/>
    </font>
    <font>
      <i/>
      <sz val="7"/>
      <color theme="1"/>
      <name val="Arial"/>
      <family val="2"/>
    </font>
    <font>
      <i/>
      <sz val="6"/>
      <color theme="1"/>
      <name val="Arial"/>
      <family val="2"/>
    </font>
    <font>
      <b/>
      <sz val="8"/>
      <color theme="1"/>
      <name val="Arial Narrow"/>
      <family val="2"/>
    </font>
    <font>
      <sz val="6.5"/>
      <color theme="1"/>
      <name val="Arial Narrow"/>
      <family val="2"/>
    </font>
    <font>
      <strike/>
      <sz val="6.5"/>
      <color theme="1"/>
      <name val="Arial Narrow"/>
      <family val="2"/>
    </font>
    <font>
      <sz val="8"/>
      <color theme="1"/>
      <name val="Arial Narrow"/>
      <family val="2"/>
    </font>
    <font>
      <b/>
      <sz val="7"/>
      <color theme="1"/>
      <name val="Arial"/>
      <family val="2"/>
    </font>
    <font>
      <b/>
      <sz val="6.5"/>
      <color theme="1"/>
      <name val="Arial Narrow"/>
      <family val="2"/>
    </font>
    <font>
      <sz val="7.5"/>
      <color theme="1"/>
      <name val="Arial"/>
      <family val="2"/>
    </font>
    <font>
      <sz val="11"/>
      <color theme="1"/>
      <name val="Calibri"/>
      <family val="2"/>
      <scheme val="minor"/>
    </font>
    <font>
      <sz val="9"/>
      <color theme="1"/>
      <name val="Times New Roman"/>
      <family val="1"/>
    </font>
    <font>
      <sz val="9"/>
      <color rgb="FFFF0000"/>
      <name val="Times New Roman"/>
      <family val="1"/>
    </font>
    <font>
      <b/>
      <sz val="9"/>
      <color theme="1"/>
      <name val="Times New Roman"/>
      <family val="1"/>
    </font>
    <font>
      <sz val="8.5"/>
      <color theme="1"/>
      <name val="Times New Roman"/>
      <family val="1"/>
    </font>
    <font>
      <b/>
      <sz val="9"/>
      <color rgb="FFFF0000"/>
      <name val="Times New Roman"/>
      <family val="1"/>
    </font>
    <font>
      <sz val="11"/>
      <color theme="1"/>
      <name val="Times New Roman"/>
      <family val="1"/>
    </font>
    <font>
      <b/>
      <sz val="11"/>
      <color rgb="FF0000FF"/>
      <name val="Times New Roman"/>
      <family val="1"/>
    </font>
    <font>
      <sz val="10"/>
      <name val="Times New Roman"/>
      <family val="1"/>
    </font>
    <font>
      <sz val="10"/>
      <color theme="1"/>
      <name val="Times New Roman"/>
      <family val="1"/>
    </font>
    <font>
      <sz val="10"/>
      <name val="Arial"/>
      <family val="2"/>
    </font>
    <font>
      <sz val="12"/>
      <name val="MS UI Gothic"/>
      <family val="3"/>
      <charset val="128"/>
    </font>
  </fonts>
  <fills count="3">
    <fill>
      <patternFill patternType="none"/>
    </fill>
    <fill>
      <patternFill patternType="gray125"/>
    </fill>
    <fill>
      <patternFill patternType="solid">
        <fgColor theme="0" tint="-0.249977111117893"/>
        <bgColor indexed="64"/>
      </patternFill>
    </fill>
  </fills>
  <borders count="4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medium">
        <color indexed="64"/>
      </left>
      <right/>
      <top style="medium">
        <color indexed="64"/>
      </top>
      <bottom style="medium">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style="thin">
        <color indexed="64"/>
      </right>
      <top/>
      <bottom style="medium">
        <color indexed="64"/>
      </bottom>
      <diagonal/>
    </border>
    <border>
      <left/>
      <right style="thin">
        <color indexed="64"/>
      </right>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8">
    <xf numFmtId="0" fontId="0" fillId="0" borderId="0"/>
    <xf numFmtId="9" fontId="14" fillId="0" borderId="0" applyFont="0" applyFill="0" applyBorder="0" applyAlignment="0" applyProtection="0"/>
    <xf numFmtId="0" fontId="14" fillId="0" borderId="0"/>
    <xf numFmtId="9" fontId="14" fillId="0" borderId="0" applyFont="0" applyFill="0" applyBorder="0" applyAlignment="0" applyProtection="0"/>
    <xf numFmtId="0" fontId="22" fillId="0" borderId="0"/>
    <xf numFmtId="0" fontId="24" fillId="0" borderId="0"/>
    <xf numFmtId="0" fontId="25" fillId="0" borderId="0"/>
    <xf numFmtId="0" fontId="14" fillId="0" borderId="0"/>
  </cellStyleXfs>
  <cellXfs count="513">
    <xf numFmtId="0" fontId="0" fillId="0" borderId="0" xfId="0"/>
    <xf numFmtId="0" fontId="1" fillId="0" borderId="0" xfId="0" applyFont="1" applyAlignment="1">
      <alignment vertical="center"/>
    </xf>
    <xf numFmtId="0" fontId="3" fillId="0" borderId="1" xfId="0" applyFont="1" applyBorder="1" applyAlignment="1">
      <alignment vertical="center" wrapText="1"/>
    </xf>
    <xf numFmtId="0" fontId="3" fillId="0" borderId="2" xfId="0" applyFont="1" applyBorder="1" applyAlignment="1">
      <alignment vertical="center"/>
    </xf>
    <xf numFmtId="0" fontId="3" fillId="0" borderId="20" xfId="0" applyFont="1" applyBorder="1" applyAlignment="1">
      <alignment vertical="center"/>
    </xf>
    <xf numFmtId="0" fontId="3" fillId="0" borderId="9" xfId="0" applyFont="1" applyBorder="1" applyAlignment="1">
      <alignment vertical="center"/>
    </xf>
    <xf numFmtId="0" fontId="3" fillId="0" borderId="3" xfId="0" applyFont="1" applyBorder="1" applyAlignment="1">
      <alignment vertical="center"/>
    </xf>
    <xf numFmtId="0" fontId="3" fillId="0" borderId="4" xfId="0" applyFont="1" applyBorder="1" applyAlignment="1">
      <alignment vertical="center"/>
    </xf>
    <xf numFmtId="0" fontId="3" fillId="0" borderId="0" xfId="0" applyFont="1" applyAlignment="1">
      <alignment vertical="center"/>
    </xf>
    <xf numFmtId="0" fontId="3" fillId="0" borderId="21" xfId="0" applyFont="1" applyBorder="1" applyAlignment="1">
      <alignment vertical="center"/>
    </xf>
    <xf numFmtId="0" fontId="3" fillId="0" borderId="10" xfId="0" applyFont="1" applyBorder="1" applyAlignment="1">
      <alignment vertical="center"/>
    </xf>
    <xf numFmtId="0" fontId="3" fillId="0" borderId="5" xfId="0" applyFont="1" applyBorder="1" applyAlignment="1">
      <alignment vertical="center"/>
    </xf>
    <xf numFmtId="0" fontId="1" fillId="0" borderId="4" xfId="0" applyFont="1" applyBorder="1" applyAlignment="1">
      <alignment vertical="center"/>
    </xf>
    <xf numFmtId="0" fontId="1" fillId="0" borderId="21" xfId="0" applyFont="1" applyBorder="1" applyAlignment="1">
      <alignment vertical="center"/>
    </xf>
    <xf numFmtId="0" fontId="6" fillId="0" borderId="27" xfId="0" applyFont="1" applyBorder="1" applyAlignment="1">
      <alignment vertical="center"/>
    </xf>
    <xf numFmtId="0" fontId="1" fillId="0" borderId="7" xfId="0" applyFont="1" applyBorder="1" applyAlignment="1">
      <alignment vertical="center"/>
    </xf>
    <xf numFmtId="0" fontId="1" fillId="0" borderId="28" xfId="0" applyFont="1" applyBorder="1" applyAlignment="1">
      <alignment vertical="center"/>
    </xf>
    <xf numFmtId="0" fontId="1" fillId="0" borderId="10" xfId="0" applyFont="1" applyBorder="1" applyAlignment="1">
      <alignment vertical="center"/>
    </xf>
    <xf numFmtId="0" fontId="1" fillId="0" borderId="5" xfId="0" applyFont="1" applyBorder="1" applyAlignment="1">
      <alignment vertical="center"/>
    </xf>
    <xf numFmtId="0" fontId="1" fillId="0" borderId="11" xfId="0" applyFont="1" applyBorder="1" applyAlignment="1">
      <alignment vertical="top"/>
    </xf>
    <xf numFmtId="0" fontId="1" fillId="0" borderId="24" xfId="0" applyFont="1" applyBorder="1" applyAlignment="1">
      <alignment vertical="center"/>
    </xf>
    <xf numFmtId="0" fontId="1" fillId="0" borderId="25" xfId="0" applyFont="1" applyBorder="1" applyAlignment="1">
      <alignment vertical="center"/>
    </xf>
    <xf numFmtId="0" fontId="1" fillId="0" borderId="2" xfId="0" applyFont="1" applyBorder="1" applyAlignment="1">
      <alignment vertical="center"/>
    </xf>
    <xf numFmtId="0" fontId="1" fillId="0" borderId="3" xfId="0" applyFont="1" applyBorder="1" applyAlignment="1">
      <alignment vertical="center"/>
    </xf>
    <xf numFmtId="0" fontId="1" fillId="0" borderId="15" xfId="0" applyFont="1" applyBorder="1" applyAlignment="1">
      <alignment vertical="center"/>
    </xf>
    <xf numFmtId="0" fontId="1" fillId="0" borderId="23" xfId="0" applyFont="1" applyBorder="1" applyAlignment="1">
      <alignment vertical="center"/>
    </xf>
    <xf numFmtId="0" fontId="2" fillId="0" borderId="4" xfId="0" applyFont="1" applyBorder="1" applyAlignment="1">
      <alignment horizontal="center" vertical="top"/>
    </xf>
    <xf numFmtId="0" fontId="1" fillId="0" borderId="4" xfId="0" applyFont="1" applyBorder="1" applyAlignment="1">
      <alignment vertical="top"/>
    </xf>
    <xf numFmtId="0" fontId="2" fillId="0" borderId="0" xfId="0" applyFont="1" applyAlignment="1">
      <alignment horizontal="center" vertical="center"/>
    </xf>
    <xf numFmtId="0" fontId="1" fillId="0" borderId="6" xfId="0" applyFont="1" applyBorder="1" applyAlignment="1">
      <alignment vertical="top"/>
    </xf>
    <xf numFmtId="0" fontId="1" fillId="0" borderId="8" xfId="0" applyFont="1" applyBorder="1" applyAlignment="1">
      <alignment vertical="center"/>
    </xf>
    <xf numFmtId="0" fontId="1" fillId="0" borderId="26" xfId="0" applyFont="1" applyBorder="1" applyAlignment="1">
      <alignment vertical="center"/>
    </xf>
    <xf numFmtId="0" fontId="1" fillId="0" borderId="13" xfId="0" applyFont="1" applyBorder="1" applyAlignment="1">
      <alignment vertical="center"/>
    </xf>
    <xf numFmtId="0" fontId="1" fillId="0" borderId="33" xfId="0" applyFont="1" applyBorder="1" applyAlignment="1">
      <alignment vertical="center"/>
    </xf>
    <xf numFmtId="0" fontId="1" fillId="0" borderId="14" xfId="0" applyFont="1" applyBorder="1" applyAlignment="1">
      <alignment vertical="center"/>
    </xf>
    <xf numFmtId="0" fontId="1" fillId="0" borderId="19" xfId="0" applyFont="1" applyBorder="1" applyAlignment="1">
      <alignment vertical="center"/>
    </xf>
    <xf numFmtId="0" fontId="1" fillId="0" borderId="29" xfId="0" applyFont="1" applyBorder="1" applyAlignment="1">
      <alignment vertical="center"/>
    </xf>
    <xf numFmtId="0" fontId="1" fillId="0" borderId="13" xfId="0" applyFont="1" applyBorder="1" applyAlignment="1">
      <alignment vertical="center" wrapText="1"/>
    </xf>
    <xf numFmtId="0" fontId="8" fillId="0" borderId="1" xfId="0" applyFont="1" applyBorder="1" applyAlignment="1">
      <alignment vertical="center"/>
    </xf>
    <xf numFmtId="0" fontId="8" fillId="0" borderId="2" xfId="0" applyFont="1" applyBorder="1" applyAlignment="1">
      <alignment vertical="center"/>
    </xf>
    <xf numFmtId="0" fontId="8" fillId="0" borderId="20" xfId="0" applyFont="1" applyBorder="1" applyAlignment="1">
      <alignment vertical="center"/>
    </xf>
    <xf numFmtId="0" fontId="8" fillId="0" borderId="9" xfId="0" applyFont="1" applyBorder="1" applyAlignment="1">
      <alignment vertical="center"/>
    </xf>
    <xf numFmtId="0" fontId="1" fillId="0" borderId="20" xfId="0" applyFont="1" applyBorder="1" applyAlignment="1">
      <alignment vertical="center"/>
    </xf>
    <xf numFmtId="0" fontId="1" fillId="0" borderId="9" xfId="0" applyFont="1" applyBorder="1" applyAlignment="1">
      <alignment vertical="center"/>
    </xf>
    <xf numFmtId="0" fontId="1" fillId="0" borderId="0" xfId="0" applyFont="1"/>
    <xf numFmtId="0" fontId="8" fillId="0" borderId="4" xfId="0" applyFont="1" applyBorder="1" applyAlignment="1">
      <alignment vertical="center"/>
    </xf>
    <xf numFmtId="0" fontId="8" fillId="0" borderId="5" xfId="0" applyFont="1" applyBorder="1" applyAlignment="1">
      <alignment vertical="center"/>
    </xf>
    <xf numFmtId="0" fontId="8" fillId="0" borderId="0" xfId="0" applyFont="1" applyAlignment="1">
      <alignment vertical="center"/>
    </xf>
    <xf numFmtId="0" fontId="8" fillId="0" borderId="21" xfId="0" applyFont="1" applyBorder="1" applyAlignment="1">
      <alignment vertical="center"/>
    </xf>
    <xf numFmtId="0" fontId="8" fillId="0" borderId="22" xfId="0" applyFont="1" applyBorder="1" applyAlignment="1">
      <alignment vertical="center"/>
    </xf>
    <xf numFmtId="0" fontId="8" fillId="0" borderId="23" xfId="0" applyFont="1" applyBorder="1" applyAlignment="1">
      <alignment vertical="center"/>
    </xf>
    <xf numFmtId="0" fontId="8" fillId="0" borderId="15" xfId="0" applyFont="1" applyBorder="1" applyAlignment="1">
      <alignment vertical="center"/>
    </xf>
    <xf numFmtId="0" fontId="8" fillId="0" borderId="29" xfId="0" applyFont="1" applyBorder="1" applyAlignment="1">
      <alignment vertical="center"/>
    </xf>
    <xf numFmtId="0" fontId="8" fillId="0" borderId="12" xfId="0" applyFont="1" applyBorder="1" applyAlignment="1">
      <alignment vertical="center"/>
    </xf>
    <xf numFmtId="0" fontId="8" fillId="0" borderId="13" xfId="0" applyFont="1" applyBorder="1" applyAlignment="1">
      <alignment vertical="center"/>
    </xf>
    <xf numFmtId="0" fontId="8" fillId="0" borderId="33" xfId="0" applyFont="1" applyBorder="1" applyAlignment="1">
      <alignment vertical="center"/>
    </xf>
    <xf numFmtId="0" fontId="8" fillId="0" borderId="26" xfId="0" applyFont="1" applyBorder="1" applyAlignment="1">
      <alignment vertical="center"/>
    </xf>
    <xf numFmtId="0" fontId="8" fillId="0" borderId="10" xfId="0" applyFont="1" applyBorder="1" applyAlignment="1">
      <alignment vertical="center"/>
    </xf>
    <xf numFmtId="0" fontId="8" fillId="0" borderId="14" xfId="0" applyFont="1" applyBorder="1" applyAlignment="1">
      <alignment vertical="center"/>
    </xf>
    <xf numFmtId="0" fontId="8" fillId="0" borderId="19" xfId="0" applyFont="1" applyBorder="1" applyAlignment="1">
      <alignment vertical="center"/>
    </xf>
    <xf numFmtId="0" fontId="10" fillId="0" borderId="13" xfId="0" applyFont="1" applyBorder="1" applyAlignment="1">
      <alignment vertical="center"/>
    </xf>
    <xf numFmtId="0" fontId="10" fillId="0" borderId="33" xfId="0" applyFont="1" applyBorder="1" applyAlignment="1">
      <alignment vertical="center"/>
    </xf>
    <xf numFmtId="0" fontId="10" fillId="0" borderId="0" xfId="0" applyFont="1" applyAlignment="1">
      <alignment vertical="center"/>
    </xf>
    <xf numFmtId="0" fontId="10" fillId="0" borderId="21" xfId="0" applyFont="1" applyBorder="1" applyAlignment="1">
      <alignment vertical="center"/>
    </xf>
    <xf numFmtId="0" fontId="10" fillId="0" borderId="15" xfId="0" applyFont="1" applyBorder="1" applyAlignment="1">
      <alignment vertical="center"/>
    </xf>
    <xf numFmtId="0" fontId="10" fillId="0" borderId="29" xfId="0" applyFont="1" applyBorder="1" applyAlignment="1">
      <alignment vertical="center"/>
    </xf>
    <xf numFmtId="0" fontId="8" fillId="0" borderId="35" xfId="0" applyFont="1" applyBorder="1" applyAlignment="1">
      <alignment vertical="center"/>
    </xf>
    <xf numFmtId="0" fontId="1" fillId="0" borderId="17" xfId="0" applyFont="1" applyBorder="1" applyAlignment="1">
      <alignment vertical="center"/>
    </xf>
    <xf numFmtId="0" fontId="1" fillId="0" borderId="34" xfId="0" applyFont="1" applyBorder="1" applyAlignment="1">
      <alignment vertical="center"/>
    </xf>
    <xf numFmtId="0" fontId="8" fillId="0" borderId="17" xfId="0" applyFont="1" applyBorder="1" applyAlignment="1">
      <alignment vertical="center"/>
    </xf>
    <xf numFmtId="0" fontId="8" fillId="0" borderId="18" xfId="0" applyFont="1" applyBorder="1" applyAlignment="1">
      <alignment vertical="center"/>
    </xf>
    <xf numFmtId="0" fontId="8" fillId="0" borderId="16" xfId="0" applyFont="1" applyBorder="1" applyAlignment="1">
      <alignment vertical="center"/>
    </xf>
    <xf numFmtId="0" fontId="10" fillId="0" borderId="17" xfId="0" applyFont="1" applyBorder="1" applyAlignment="1">
      <alignment vertical="center"/>
    </xf>
    <xf numFmtId="0" fontId="10" fillId="0" borderId="34" xfId="0" applyFont="1" applyBorder="1" applyAlignment="1">
      <alignment vertical="center"/>
    </xf>
    <xf numFmtId="9" fontId="8" fillId="0" borderId="10" xfId="0" applyNumberFormat="1" applyFont="1" applyBorder="1" applyAlignment="1">
      <alignment horizontal="left" vertical="center"/>
    </xf>
    <xf numFmtId="9" fontId="8" fillId="0" borderId="10" xfId="0" applyNumberFormat="1" applyFont="1" applyBorder="1" applyAlignment="1">
      <alignment vertical="center"/>
    </xf>
    <xf numFmtId="9" fontId="8" fillId="0" borderId="19" xfId="0" applyNumberFormat="1" applyFont="1" applyBorder="1" applyAlignment="1">
      <alignment vertical="center"/>
    </xf>
    <xf numFmtId="0" fontId="1" fillId="0" borderId="35" xfId="0" applyFont="1" applyBorder="1" applyAlignment="1">
      <alignment vertical="center"/>
    </xf>
    <xf numFmtId="0" fontId="1" fillId="0" borderId="18" xfId="0" applyFont="1" applyBorder="1" applyAlignment="1">
      <alignment vertical="center"/>
    </xf>
    <xf numFmtId="0" fontId="8" fillId="0" borderId="6" xfId="0" applyFont="1" applyBorder="1" applyAlignment="1">
      <alignment vertical="center"/>
    </xf>
    <xf numFmtId="0" fontId="8" fillId="0" borderId="7" xfId="0" applyFont="1" applyBorder="1" applyAlignment="1">
      <alignment vertical="center"/>
    </xf>
    <xf numFmtId="0" fontId="10" fillId="0" borderId="7" xfId="0" applyFont="1" applyBorder="1" applyAlignment="1">
      <alignment vertical="center"/>
    </xf>
    <xf numFmtId="0" fontId="10" fillId="0" borderId="28" xfId="0" applyFont="1" applyBorder="1" applyAlignment="1">
      <alignment vertical="center"/>
    </xf>
    <xf numFmtId="0" fontId="1" fillId="0" borderId="27" xfId="0" applyFont="1" applyBorder="1" applyAlignment="1">
      <alignment vertical="center"/>
    </xf>
    <xf numFmtId="0" fontId="8" fillId="0" borderId="41" xfId="0" applyFont="1" applyBorder="1" applyAlignment="1">
      <alignment vertical="center"/>
    </xf>
    <xf numFmtId="0" fontId="8" fillId="0" borderId="31" xfId="0" applyFont="1" applyBorder="1" applyAlignment="1">
      <alignment vertical="center"/>
    </xf>
    <xf numFmtId="0" fontId="10" fillId="0" borderId="31" xfId="0" applyFont="1" applyBorder="1" applyAlignment="1">
      <alignment vertical="center"/>
    </xf>
    <xf numFmtId="0" fontId="10" fillId="0" borderId="32" xfId="0" applyFont="1" applyBorder="1" applyAlignment="1">
      <alignment vertical="center"/>
    </xf>
    <xf numFmtId="0" fontId="8" fillId="0" borderId="10" xfId="0" applyFont="1" applyBorder="1" applyAlignment="1">
      <alignment horizontal="right" vertical="center"/>
    </xf>
    <xf numFmtId="9" fontId="8" fillId="0" borderId="0" xfId="0" applyNumberFormat="1" applyFont="1" applyAlignment="1">
      <alignment vertical="center"/>
    </xf>
    <xf numFmtId="0" fontId="10" fillId="0" borderId="26" xfId="0" applyFont="1" applyBorder="1" applyAlignment="1">
      <alignment vertical="center"/>
    </xf>
    <xf numFmtId="0" fontId="10" fillId="0" borderId="10" xfId="0" applyFont="1" applyBorder="1" applyAlignment="1">
      <alignment vertical="center"/>
    </xf>
    <xf numFmtId="9" fontId="8" fillId="0" borderId="15" xfId="0" applyNumberFormat="1" applyFont="1" applyBorder="1" applyAlignment="1">
      <alignment vertical="center"/>
    </xf>
    <xf numFmtId="0" fontId="8" fillId="0" borderId="4" xfId="0" applyFont="1" applyBorder="1" applyAlignment="1">
      <alignment horizontal="right" vertical="center"/>
    </xf>
    <xf numFmtId="0" fontId="8" fillId="0" borderId="19" xfId="0" applyFont="1" applyBorder="1" applyAlignment="1">
      <alignment horizontal="right" vertical="center"/>
    </xf>
    <xf numFmtId="0" fontId="8" fillId="0" borderId="27" xfId="0" applyFont="1" applyBorder="1" applyAlignment="1">
      <alignment vertical="center"/>
    </xf>
    <xf numFmtId="0" fontId="2" fillId="0" borderId="0" xfId="0" applyFont="1" applyAlignment="1">
      <alignment vertical="center"/>
    </xf>
    <xf numFmtId="0" fontId="2" fillId="0" borderId="0" xfId="0" applyFont="1" applyAlignment="1">
      <alignment vertical="top"/>
    </xf>
    <xf numFmtId="0" fontId="15" fillId="0" borderId="0" xfId="0" applyFont="1" applyAlignment="1">
      <alignment horizontal="center" vertical="center"/>
    </xf>
    <xf numFmtId="0" fontId="15" fillId="0" borderId="0" xfId="0" applyFont="1" applyAlignment="1">
      <alignment vertical="center"/>
    </xf>
    <xf numFmtId="0" fontId="16" fillId="0" borderId="0" xfId="0" applyFont="1" applyAlignment="1">
      <alignment horizontal="center" vertical="center"/>
    </xf>
    <xf numFmtId="10" fontId="15" fillId="0" borderId="0" xfId="1" applyNumberFormat="1" applyFont="1" applyFill="1" applyAlignment="1">
      <alignment horizontal="center" vertical="center"/>
    </xf>
    <xf numFmtId="0" fontId="17" fillId="0" borderId="0" xfId="0" applyFont="1" applyAlignment="1">
      <alignment horizontal="center" vertical="center"/>
    </xf>
    <xf numFmtId="10" fontId="17" fillId="0" borderId="0" xfId="1" applyNumberFormat="1" applyFont="1" applyFill="1" applyAlignment="1">
      <alignment horizontal="center" vertical="center"/>
    </xf>
    <xf numFmtId="10" fontId="15" fillId="0" borderId="0" xfId="1" applyNumberFormat="1" applyFont="1" applyFill="1" applyAlignment="1">
      <alignment horizontal="left" vertical="center"/>
    </xf>
    <xf numFmtId="9" fontId="15" fillId="0" borderId="0" xfId="1" applyFont="1" applyFill="1" applyAlignment="1">
      <alignment horizontal="center" vertical="center"/>
    </xf>
    <xf numFmtId="40" fontId="15" fillId="0" borderId="0" xfId="0" applyNumberFormat="1" applyFont="1" applyAlignment="1">
      <alignment horizontal="center" vertical="center"/>
    </xf>
    <xf numFmtId="0" fontId="19" fillId="0" borderId="0" xfId="0" applyFont="1" applyAlignment="1">
      <alignment horizontal="center" vertical="center"/>
    </xf>
    <xf numFmtId="0" fontId="1" fillId="0" borderId="0" xfId="2" applyFont="1" applyAlignment="1">
      <alignment vertical="center"/>
    </xf>
    <xf numFmtId="0" fontId="15" fillId="0" borderId="0" xfId="2" applyFont="1" applyAlignment="1">
      <alignment horizontal="center" vertical="center"/>
    </xf>
    <xf numFmtId="0" fontId="15" fillId="0" borderId="0" xfId="2" applyFont="1" applyAlignment="1">
      <alignment vertical="center"/>
    </xf>
    <xf numFmtId="0" fontId="2" fillId="0" borderId="0" xfId="2" applyFont="1" applyAlignment="1">
      <alignment vertical="center"/>
    </xf>
    <xf numFmtId="0" fontId="2" fillId="0" borderId="0" xfId="2" applyFont="1" applyAlignment="1">
      <alignment horizontal="center" vertical="center"/>
    </xf>
    <xf numFmtId="0" fontId="16" fillId="0" borderId="0" xfId="2" applyFont="1" applyAlignment="1">
      <alignment horizontal="center" vertical="center"/>
    </xf>
    <xf numFmtId="0" fontId="19" fillId="0" borderId="0" xfId="2" applyFont="1" applyAlignment="1">
      <alignment horizontal="center" vertical="center"/>
    </xf>
    <xf numFmtId="0" fontId="2" fillId="0" borderId="0" xfId="2" applyFont="1" applyAlignment="1">
      <alignment vertical="top"/>
    </xf>
    <xf numFmtId="0" fontId="3" fillId="0" borderId="1" xfId="2" applyFont="1" applyBorder="1" applyAlignment="1">
      <alignment vertical="center" wrapText="1"/>
    </xf>
    <xf numFmtId="0" fontId="3" fillId="0" borderId="2" xfId="2" applyFont="1" applyBorder="1" applyAlignment="1">
      <alignment vertical="center"/>
    </xf>
    <xf numFmtId="0" fontId="3" fillId="0" borderId="20" xfId="2" applyFont="1" applyBorder="1" applyAlignment="1">
      <alignment vertical="center"/>
    </xf>
    <xf numFmtId="0" fontId="3" fillId="0" borderId="9" xfId="2" applyFont="1" applyBorder="1" applyAlignment="1">
      <alignment vertical="center"/>
    </xf>
    <xf numFmtId="0" fontId="3" fillId="0" borderId="3" xfId="2" applyFont="1" applyBorder="1" applyAlignment="1">
      <alignment vertical="center"/>
    </xf>
    <xf numFmtId="0" fontId="3" fillId="0" borderId="4" xfId="2" applyFont="1" applyBorder="1" applyAlignment="1">
      <alignment vertical="center"/>
    </xf>
    <xf numFmtId="0" fontId="3" fillId="0" borderId="0" xfId="2" applyFont="1" applyAlignment="1">
      <alignment vertical="center"/>
    </xf>
    <xf numFmtId="0" fontId="3" fillId="0" borderId="21" xfId="2" applyFont="1" applyBorder="1" applyAlignment="1">
      <alignment vertical="center"/>
    </xf>
    <xf numFmtId="0" fontId="3" fillId="0" borderId="10" xfId="2" applyFont="1" applyBorder="1" applyAlignment="1">
      <alignment vertical="center"/>
    </xf>
    <xf numFmtId="0" fontId="3" fillId="0" borderId="5" xfId="2" applyFont="1" applyBorder="1" applyAlignment="1">
      <alignment vertical="center"/>
    </xf>
    <xf numFmtId="0" fontId="1" fillId="0" borderId="4" xfId="2" applyFont="1" applyBorder="1" applyAlignment="1">
      <alignment vertical="center"/>
    </xf>
    <xf numFmtId="0" fontId="1" fillId="0" borderId="21" xfId="2" applyFont="1" applyBorder="1" applyAlignment="1">
      <alignment vertical="center"/>
    </xf>
    <xf numFmtId="0" fontId="6" fillId="0" borderId="27" xfId="2" applyFont="1" applyBorder="1" applyAlignment="1">
      <alignment vertical="center"/>
    </xf>
    <xf numFmtId="0" fontId="1" fillId="0" borderId="7" xfId="2" applyFont="1" applyBorder="1" applyAlignment="1">
      <alignment vertical="center"/>
    </xf>
    <xf numFmtId="0" fontId="1" fillId="0" borderId="28" xfId="2" applyFont="1" applyBorder="1" applyAlignment="1">
      <alignment vertical="center"/>
    </xf>
    <xf numFmtId="0" fontId="1" fillId="0" borderId="10" xfId="2" applyFont="1" applyBorder="1" applyAlignment="1">
      <alignment vertical="center"/>
    </xf>
    <xf numFmtId="0" fontId="1" fillId="0" borderId="5" xfId="2" applyFont="1" applyBorder="1" applyAlignment="1">
      <alignment vertical="center"/>
    </xf>
    <xf numFmtId="0" fontId="1" fillId="0" borderId="11" xfId="2" applyFont="1" applyBorder="1" applyAlignment="1">
      <alignment vertical="top"/>
    </xf>
    <xf numFmtId="0" fontId="1" fillId="0" borderId="24" xfId="2" applyFont="1" applyBorder="1" applyAlignment="1">
      <alignment vertical="center"/>
    </xf>
    <xf numFmtId="0" fontId="1" fillId="0" borderId="25" xfId="2" applyFont="1" applyBorder="1" applyAlignment="1">
      <alignment vertical="center"/>
    </xf>
    <xf numFmtId="0" fontId="1" fillId="0" borderId="2" xfId="2" applyFont="1" applyBorder="1" applyAlignment="1">
      <alignment vertical="center"/>
    </xf>
    <xf numFmtId="0" fontId="1" fillId="0" borderId="26" xfId="2" applyFont="1" applyBorder="1" applyAlignment="1">
      <alignment vertical="center"/>
    </xf>
    <xf numFmtId="0" fontId="1" fillId="0" borderId="13" xfId="2" applyFont="1" applyBorder="1" applyAlignment="1">
      <alignment vertical="center"/>
    </xf>
    <xf numFmtId="0" fontId="1" fillId="0" borderId="33" xfId="2" applyFont="1" applyBorder="1" applyAlignment="1">
      <alignment vertical="center"/>
    </xf>
    <xf numFmtId="0" fontId="20" fillId="0" borderId="27" xfId="2" applyFont="1" applyBorder="1" applyAlignment="1">
      <alignment horizontal="center" vertical="top"/>
    </xf>
    <xf numFmtId="0" fontId="20" fillId="0" borderId="37" xfId="2" applyFont="1" applyBorder="1" applyAlignment="1">
      <alignment horizontal="center" vertical="top"/>
    </xf>
    <xf numFmtId="0" fontId="20" fillId="0" borderId="7" xfId="2" applyFont="1" applyBorder="1" applyAlignment="1">
      <alignment horizontal="center" vertical="top"/>
    </xf>
    <xf numFmtId="0" fontId="20" fillId="0" borderId="28" xfId="2" applyFont="1" applyBorder="1" applyAlignment="1">
      <alignment horizontal="center" vertical="top"/>
    </xf>
    <xf numFmtId="14" fontId="15" fillId="0" borderId="0" xfId="2" applyNumberFormat="1" applyFont="1" applyAlignment="1">
      <alignment horizontal="center" vertical="center"/>
    </xf>
    <xf numFmtId="165" fontId="15" fillId="0" borderId="0" xfId="2" applyNumberFormat="1" applyFont="1" applyAlignment="1">
      <alignment vertical="center"/>
    </xf>
    <xf numFmtId="0" fontId="1" fillId="0" borderId="3" xfId="2" applyFont="1" applyBorder="1" applyAlignment="1">
      <alignment vertical="center"/>
    </xf>
    <xf numFmtId="0" fontId="1" fillId="2" borderId="42" xfId="2" applyFont="1" applyFill="1" applyBorder="1" applyAlignment="1">
      <alignment vertical="center"/>
    </xf>
    <xf numFmtId="0" fontId="20" fillId="0" borderId="43" xfId="2" applyFont="1" applyBorder="1" applyAlignment="1">
      <alignment horizontal="center" vertical="top"/>
    </xf>
    <xf numFmtId="0" fontId="20" fillId="0" borderId="15" xfId="2" applyFont="1" applyBorder="1" applyAlignment="1">
      <alignment horizontal="center" vertical="top"/>
    </xf>
    <xf numFmtId="0" fontId="1" fillId="2" borderId="43" xfId="2" applyFont="1" applyFill="1" applyBorder="1" applyAlignment="1">
      <alignment horizontal="center" vertical="center"/>
    </xf>
    <xf numFmtId="0" fontId="1" fillId="0" borderId="15" xfId="2" applyFont="1" applyBorder="1" applyAlignment="1">
      <alignment vertical="center"/>
    </xf>
    <xf numFmtId="0" fontId="1" fillId="0" borderId="23" xfId="2" applyFont="1" applyBorder="1" applyAlignment="1">
      <alignment vertical="center"/>
    </xf>
    <xf numFmtId="0" fontId="2" fillId="0" borderId="4" xfId="2" applyFont="1" applyBorder="1" applyAlignment="1">
      <alignment horizontal="center" vertical="top"/>
    </xf>
    <xf numFmtId="0" fontId="1" fillId="0" borderId="4" xfId="2" applyFont="1" applyBorder="1" applyAlignment="1">
      <alignment vertical="top"/>
    </xf>
    <xf numFmtId="9" fontId="15" fillId="0" borderId="0" xfId="3" applyFont="1" applyAlignment="1">
      <alignment horizontal="center" vertical="center"/>
    </xf>
    <xf numFmtId="0" fontId="17" fillId="0" borderId="16" xfId="2" applyFont="1" applyBorder="1" applyAlignment="1">
      <alignment horizontal="left" vertical="center"/>
    </xf>
    <xf numFmtId="0" fontId="17" fillId="0" borderId="17" xfId="2" applyFont="1" applyBorder="1" applyAlignment="1">
      <alignment vertical="center"/>
    </xf>
    <xf numFmtId="0" fontId="17" fillId="0" borderId="34" xfId="2" applyFont="1" applyBorder="1" applyAlignment="1">
      <alignment vertical="center"/>
    </xf>
    <xf numFmtId="0" fontId="15" fillId="0" borderId="17" xfId="2" applyFont="1" applyBorder="1" applyAlignment="1">
      <alignment vertical="center"/>
    </xf>
    <xf numFmtId="0" fontId="15" fillId="0" borderId="34" xfId="2" applyFont="1" applyBorder="1" applyAlignment="1">
      <alignment vertical="center"/>
    </xf>
    <xf numFmtId="40" fontId="15" fillId="0" borderId="0" xfId="2" applyNumberFormat="1" applyFont="1" applyAlignment="1">
      <alignment horizontal="center" vertical="center"/>
    </xf>
    <xf numFmtId="0" fontId="1" fillId="0" borderId="14" xfId="2" applyFont="1" applyBorder="1" applyAlignment="1">
      <alignment vertical="center"/>
    </xf>
    <xf numFmtId="0" fontId="1" fillId="0" borderId="19" xfId="2" applyFont="1" applyBorder="1" applyAlignment="1">
      <alignment vertical="center"/>
    </xf>
    <xf numFmtId="0" fontId="1" fillId="0" borderId="29" xfId="2" applyFont="1" applyBorder="1" applyAlignment="1">
      <alignment vertical="center"/>
    </xf>
    <xf numFmtId="0" fontId="1" fillId="0" borderId="13" xfId="2" applyFont="1" applyBorder="1" applyAlignment="1">
      <alignment vertical="center" wrapText="1"/>
    </xf>
    <xf numFmtId="0" fontId="1" fillId="0" borderId="8" xfId="2" applyFont="1" applyBorder="1" applyAlignment="1">
      <alignment vertical="center"/>
    </xf>
    <xf numFmtId="0" fontId="14" fillId="0" borderId="0" xfId="2"/>
    <xf numFmtId="0" fontId="2" fillId="0" borderId="1" xfId="2" applyFont="1" applyBorder="1" applyAlignment="1">
      <alignment horizontal="center" vertical="center"/>
    </xf>
    <xf numFmtId="0" fontId="2" fillId="0" borderId="4" xfId="2" applyFont="1" applyBorder="1" applyAlignment="1">
      <alignment horizontal="center" vertical="center"/>
    </xf>
    <xf numFmtId="0" fontId="2" fillId="0" borderId="6" xfId="2" applyFont="1" applyBorder="1" applyAlignment="1">
      <alignment horizontal="center" vertical="center"/>
    </xf>
    <xf numFmtId="0" fontId="1" fillId="0" borderId="2" xfId="2" applyFont="1" applyBorder="1" applyAlignment="1">
      <alignment horizontal="center" vertical="center"/>
    </xf>
    <xf numFmtId="0" fontId="1" fillId="0" borderId="0" xfId="2" applyFont="1" applyAlignment="1">
      <alignment horizontal="center" vertical="center"/>
    </xf>
    <xf numFmtId="0" fontId="1" fillId="0" borderId="7" xfId="2" applyFont="1" applyBorder="1" applyAlignment="1">
      <alignment horizontal="center" vertical="center"/>
    </xf>
    <xf numFmtId="0" fontId="1" fillId="0" borderId="2" xfId="2" applyFont="1" applyBorder="1" applyAlignment="1">
      <alignment horizontal="right" vertical="center"/>
    </xf>
    <xf numFmtId="0" fontId="1" fillId="0" borderId="0" xfId="2" applyFont="1" applyAlignment="1">
      <alignment horizontal="right" vertical="center"/>
    </xf>
    <xf numFmtId="0" fontId="1" fillId="0" borderId="7" xfId="2" applyFont="1" applyBorder="1" applyAlignment="1">
      <alignment horizontal="right" vertical="center"/>
    </xf>
    <xf numFmtId="0" fontId="4" fillId="0" borderId="2" xfId="2" applyFont="1" applyBorder="1" applyAlignment="1">
      <alignment horizontal="center" vertical="center"/>
    </xf>
    <xf numFmtId="0" fontId="4" fillId="0" borderId="0" xfId="2" applyFont="1" applyAlignment="1">
      <alignment horizontal="center" vertical="center"/>
    </xf>
    <xf numFmtId="0" fontId="4" fillId="0" borderId="7" xfId="2" applyFont="1" applyBorder="1" applyAlignment="1">
      <alignment horizontal="center" vertical="center"/>
    </xf>
    <xf numFmtId="0" fontId="4" fillId="0" borderId="2" xfId="2" applyFont="1" applyBorder="1" applyAlignment="1">
      <alignment horizontal="left" vertical="center"/>
    </xf>
    <xf numFmtId="0" fontId="4" fillId="0" borderId="3" xfId="2" applyFont="1" applyBorder="1" applyAlignment="1">
      <alignment horizontal="left" vertical="center"/>
    </xf>
    <xf numFmtId="0" fontId="4" fillId="0" borderId="0" xfId="2" applyFont="1" applyAlignment="1">
      <alignment horizontal="left" vertical="center"/>
    </xf>
    <xf numFmtId="0" fontId="4" fillId="0" borderId="5" xfId="2" applyFont="1" applyBorder="1" applyAlignment="1">
      <alignment horizontal="left" vertical="center"/>
    </xf>
    <xf numFmtId="0" fontId="4" fillId="0" borderId="7" xfId="2" applyFont="1" applyBorder="1" applyAlignment="1">
      <alignment horizontal="left" vertical="center"/>
    </xf>
    <xf numFmtId="0" fontId="4" fillId="0" borderId="8" xfId="2" applyFont="1" applyBorder="1" applyAlignment="1">
      <alignment horizontal="left" vertical="center"/>
    </xf>
    <xf numFmtId="0" fontId="2" fillId="0" borderId="0" xfId="2" applyFont="1" applyAlignment="1">
      <alignment horizontal="center" vertical="center"/>
    </xf>
    <xf numFmtId="14" fontId="2" fillId="0" borderId="0" xfId="2" applyNumberFormat="1" applyFont="1" applyAlignment="1">
      <alignment horizontal="right" vertical="center"/>
    </xf>
    <xf numFmtId="0" fontId="2" fillId="0" borderId="0" xfId="2" applyFont="1" applyAlignment="1">
      <alignment horizontal="right" vertical="center"/>
    </xf>
    <xf numFmtId="0" fontId="2" fillId="0" borderId="7" xfId="2" applyFont="1" applyBorder="1" applyAlignment="1">
      <alignment horizontal="center" vertical="top"/>
    </xf>
    <xf numFmtId="0" fontId="3" fillId="0" borderId="2" xfId="2" applyFont="1" applyBorder="1" applyAlignment="1">
      <alignment horizontal="center" vertical="center" wrapText="1"/>
    </xf>
    <xf numFmtId="0" fontId="3" fillId="0" borderId="0" xfId="2" applyFont="1" applyAlignment="1">
      <alignment horizontal="center" vertical="center" wrapText="1"/>
    </xf>
    <xf numFmtId="0" fontId="3" fillId="0" borderId="7" xfId="2" applyFont="1" applyBorder="1" applyAlignment="1">
      <alignment horizontal="center" vertical="center" wrapText="1"/>
    </xf>
    <xf numFmtId="0" fontId="22" fillId="0" borderId="26" xfId="2" applyFont="1" applyBorder="1" applyAlignment="1">
      <alignment horizontal="left" vertical="center" wrapText="1"/>
    </xf>
    <xf numFmtId="0" fontId="22" fillId="0" borderId="13" xfId="2" applyFont="1" applyBorder="1" applyAlignment="1">
      <alignment horizontal="left" vertical="center" wrapText="1"/>
    </xf>
    <xf numFmtId="0" fontId="22" fillId="0" borderId="33" xfId="2" applyFont="1" applyBorder="1" applyAlignment="1">
      <alignment horizontal="left" vertical="center" wrapText="1"/>
    </xf>
    <xf numFmtId="0" fontId="22" fillId="0" borderId="10" xfId="2" applyFont="1" applyBorder="1" applyAlignment="1">
      <alignment horizontal="left" vertical="center" wrapText="1"/>
    </xf>
    <xf numFmtId="0" fontId="22" fillId="0" borderId="0" xfId="2" applyFont="1" applyAlignment="1">
      <alignment horizontal="left" vertical="center" wrapText="1"/>
    </xf>
    <xf numFmtId="0" fontId="22" fillId="0" borderId="21" xfId="2" applyFont="1" applyBorder="1" applyAlignment="1">
      <alignment horizontal="left" vertical="center" wrapText="1"/>
    </xf>
    <xf numFmtId="0" fontId="22" fillId="0" borderId="19" xfId="2" applyFont="1" applyBorder="1" applyAlignment="1">
      <alignment horizontal="left" vertical="center" wrapText="1"/>
    </xf>
    <xf numFmtId="0" fontId="22" fillId="0" borderId="15" xfId="2" applyFont="1" applyBorder="1" applyAlignment="1">
      <alignment horizontal="left" vertical="center" wrapText="1"/>
    </xf>
    <xf numFmtId="0" fontId="22" fillId="0" borderId="29" xfId="2" applyFont="1" applyBorder="1" applyAlignment="1">
      <alignment horizontal="left" vertical="center" wrapText="1"/>
    </xf>
    <xf numFmtId="0" fontId="15" fillId="0" borderId="0" xfId="2" applyFont="1" applyAlignment="1">
      <alignment horizontal="left" vertical="center"/>
    </xf>
    <xf numFmtId="0" fontId="20" fillId="0" borderId="10" xfId="2" applyFont="1" applyBorder="1" applyAlignment="1">
      <alignment horizontal="center" vertical="center"/>
    </xf>
    <xf numFmtId="0" fontId="20" fillId="0" borderId="19" xfId="2" applyFont="1" applyBorder="1" applyAlignment="1">
      <alignment horizontal="center" vertical="center"/>
    </xf>
    <xf numFmtId="0" fontId="20" fillId="0" borderId="44" xfId="2" applyFont="1" applyBorder="1" applyAlignment="1">
      <alignment horizontal="center" vertical="center"/>
    </xf>
    <xf numFmtId="0" fontId="20" fillId="0" borderId="43" xfId="2" applyFont="1" applyBorder="1" applyAlignment="1">
      <alignment horizontal="center" vertical="center"/>
    </xf>
    <xf numFmtId="0" fontId="20" fillId="0" borderId="0" xfId="2" applyFont="1" applyAlignment="1">
      <alignment horizontal="center" vertical="center"/>
    </xf>
    <xf numFmtId="0" fontId="20" fillId="0" borderId="15" xfId="2" applyFont="1" applyBorder="1" applyAlignment="1">
      <alignment horizontal="center" vertical="center"/>
    </xf>
    <xf numFmtId="0" fontId="2" fillId="0" borderId="11" xfId="2" applyFont="1" applyBorder="1" applyAlignment="1">
      <alignment horizontal="center" vertical="top"/>
    </xf>
    <xf numFmtId="0" fontId="2" fillId="0" borderId="24" xfId="2" applyFont="1" applyBorder="1" applyAlignment="1">
      <alignment horizontal="center" vertical="top"/>
    </xf>
    <xf numFmtId="0" fontId="2" fillId="0" borderId="25" xfId="2" applyFont="1" applyBorder="1" applyAlignment="1">
      <alignment horizontal="center" vertical="top"/>
    </xf>
    <xf numFmtId="0" fontId="2" fillId="0" borderId="22" xfId="2" applyFont="1" applyBorder="1" applyAlignment="1">
      <alignment horizontal="center" vertical="center"/>
    </xf>
    <xf numFmtId="0" fontId="1" fillId="0" borderId="2" xfId="2" applyFont="1" applyBorder="1" applyAlignment="1">
      <alignment horizontal="left" vertical="center"/>
    </xf>
    <xf numFmtId="0" fontId="1" fillId="0" borderId="0" xfId="2" applyFont="1" applyAlignment="1">
      <alignment horizontal="left" vertical="center"/>
    </xf>
    <xf numFmtId="0" fontId="1" fillId="0" borderId="15" xfId="2" applyFont="1" applyBorder="1" applyAlignment="1">
      <alignment horizontal="left" vertical="center"/>
    </xf>
    <xf numFmtId="0" fontId="15" fillId="0" borderId="0" xfId="2" applyFont="1" applyAlignment="1">
      <alignment horizontal="center" vertical="center"/>
    </xf>
    <xf numFmtId="0" fontId="21" fillId="0" borderId="42" xfId="2" applyFont="1" applyBorder="1" applyAlignment="1">
      <alignment horizontal="center" vertical="center"/>
    </xf>
    <xf numFmtId="0" fontId="21" fillId="0" borderId="43" xfId="2" applyFont="1" applyBorder="1" applyAlignment="1">
      <alignment horizontal="center" vertical="center"/>
    </xf>
    <xf numFmtId="0" fontId="23" fillId="0" borderId="26" xfId="2" applyFont="1" applyBorder="1" applyAlignment="1">
      <alignment horizontal="left" vertical="center" wrapText="1"/>
    </xf>
    <xf numFmtId="0" fontId="23" fillId="0" borderId="13" xfId="2" applyFont="1" applyBorder="1" applyAlignment="1">
      <alignment horizontal="left" vertical="center" wrapText="1"/>
    </xf>
    <xf numFmtId="0" fontId="23" fillId="0" borderId="33" xfId="2" applyFont="1" applyBorder="1" applyAlignment="1">
      <alignment horizontal="left" vertical="center" wrapText="1"/>
    </xf>
    <xf numFmtId="0" fontId="23" fillId="0" borderId="19" xfId="2" applyFont="1" applyBorder="1" applyAlignment="1">
      <alignment horizontal="left" vertical="center" wrapText="1"/>
    </xf>
    <xf numFmtId="0" fontId="23" fillId="0" borderId="15" xfId="2" applyFont="1" applyBorder="1" applyAlignment="1">
      <alignment horizontal="left" vertical="center" wrapText="1"/>
    </xf>
    <xf numFmtId="0" fontId="23" fillId="0" borderId="29" xfId="2" applyFont="1" applyBorder="1" applyAlignment="1">
      <alignment horizontal="left" vertical="center" wrapText="1"/>
    </xf>
    <xf numFmtId="0" fontId="20" fillId="0" borderId="26" xfId="2" applyFont="1" applyBorder="1" applyAlignment="1">
      <alignment horizontal="left" vertical="center" wrapText="1"/>
    </xf>
    <xf numFmtId="0" fontId="20" fillId="0" borderId="13" xfId="2" applyFont="1" applyBorder="1" applyAlignment="1">
      <alignment horizontal="left" vertical="center" wrapText="1"/>
    </xf>
    <xf numFmtId="0" fontId="20" fillId="0" borderId="33" xfId="2" applyFont="1" applyBorder="1" applyAlignment="1">
      <alignment horizontal="left" vertical="center" wrapText="1"/>
    </xf>
    <xf numFmtId="0" fontId="20" fillId="0" borderId="19" xfId="2" applyFont="1" applyBorder="1" applyAlignment="1">
      <alignment horizontal="left" vertical="center" wrapText="1"/>
    </xf>
    <xf numFmtId="0" fontId="20" fillId="0" borderId="15" xfId="2" applyFont="1" applyBorder="1" applyAlignment="1">
      <alignment horizontal="left" vertical="center" wrapText="1"/>
    </xf>
    <xf numFmtId="0" fontId="20" fillId="0" borderId="29" xfId="2" applyFont="1" applyBorder="1" applyAlignment="1">
      <alignment horizontal="left" vertical="center" wrapText="1"/>
    </xf>
    <xf numFmtId="0" fontId="23" fillId="0" borderId="10" xfId="2" applyFont="1" applyBorder="1" applyAlignment="1">
      <alignment horizontal="left" vertical="center" wrapText="1"/>
    </xf>
    <xf numFmtId="0" fontId="23" fillId="0" borderId="0" xfId="2" applyFont="1" applyAlignment="1">
      <alignment horizontal="left" vertical="center" wrapText="1"/>
    </xf>
    <xf numFmtId="0" fontId="23" fillId="0" borderId="21" xfId="2" applyFont="1" applyBorder="1" applyAlignment="1">
      <alignment horizontal="left" vertical="center" wrapText="1"/>
    </xf>
    <xf numFmtId="0" fontId="2" fillId="0" borderId="11" xfId="2" applyFont="1" applyBorder="1" applyAlignment="1">
      <alignment horizontal="center" vertical="center" wrapText="1"/>
    </xf>
    <xf numFmtId="0" fontId="1" fillId="0" borderId="24" xfId="2" applyFont="1" applyBorder="1" applyAlignment="1">
      <alignment horizontal="center" vertical="center" wrapText="1"/>
    </xf>
    <xf numFmtId="0" fontId="1" fillId="0" borderId="25" xfId="2" applyFont="1" applyBorder="1" applyAlignment="1">
      <alignment horizontal="center" vertical="center" wrapText="1"/>
    </xf>
    <xf numFmtId="0" fontId="2" fillId="0" borderId="1" xfId="2" applyFont="1" applyBorder="1" applyAlignment="1">
      <alignment horizontal="center" vertical="center" wrapText="1"/>
    </xf>
    <xf numFmtId="0" fontId="2" fillId="0" borderId="2" xfId="2" applyFont="1" applyBorder="1" applyAlignment="1">
      <alignment horizontal="center" vertical="center" wrapText="1"/>
    </xf>
    <xf numFmtId="0" fontId="2" fillId="0" borderId="20" xfId="2" applyFont="1" applyBorder="1" applyAlignment="1">
      <alignment horizontal="center" vertical="center" wrapText="1"/>
    </xf>
    <xf numFmtId="0" fontId="2" fillId="0" borderId="4" xfId="2" applyFont="1" applyBorder="1" applyAlignment="1">
      <alignment horizontal="center" vertical="center" wrapText="1"/>
    </xf>
    <xf numFmtId="0" fontId="2" fillId="0" borderId="0" xfId="2" applyFont="1" applyAlignment="1">
      <alignment horizontal="center" vertical="center" wrapText="1"/>
    </xf>
    <xf numFmtId="0" fontId="2" fillId="0" borderId="21" xfId="2" applyFont="1" applyBorder="1" applyAlignment="1">
      <alignment horizontal="center" vertical="center" wrapText="1"/>
    </xf>
    <xf numFmtId="0" fontId="2" fillId="0" borderId="22" xfId="2" applyFont="1" applyBorder="1" applyAlignment="1">
      <alignment horizontal="center" vertical="center" wrapText="1"/>
    </xf>
    <xf numFmtId="0" fontId="2" fillId="0" borderId="15" xfId="2" applyFont="1" applyBorder="1" applyAlignment="1">
      <alignment horizontal="center" vertical="center" wrapText="1"/>
    </xf>
    <xf numFmtId="0" fontId="2" fillId="0" borderId="29" xfId="2" applyFont="1" applyBorder="1" applyAlignment="1">
      <alignment horizontal="center" vertical="center" wrapText="1"/>
    </xf>
    <xf numFmtId="0" fontId="2" fillId="0" borderId="9" xfId="2" applyFont="1" applyBorder="1" applyAlignment="1">
      <alignment horizontal="center" vertical="center" wrapText="1"/>
    </xf>
    <xf numFmtId="0" fontId="2" fillId="0" borderId="10" xfId="2" applyFont="1" applyBorder="1" applyAlignment="1">
      <alignment horizontal="center" vertical="center" wrapText="1"/>
    </xf>
    <xf numFmtId="0" fontId="2" fillId="0" borderId="19" xfId="2" applyFont="1" applyBorder="1" applyAlignment="1">
      <alignment horizontal="center" vertical="center" wrapText="1"/>
    </xf>
    <xf numFmtId="0" fontId="2" fillId="0" borderId="30" xfId="2" applyFont="1" applyBorder="1" applyAlignment="1">
      <alignment horizontal="center" vertical="center" wrapText="1"/>
    </xf>
    <xf numFmtId="0" fontId="2" fillId="0" borderId="31" xfId="2" applyFont="1" applyBorder="1" applyAlignment="1">
      <alignment horizontal="center" vertical="center" wrapText="1"/>
    </xf>
    <xf numFmtId="0" fontId="2" fillId="0" borderId="32" xfId="2" applyFont="1" applyBorder="1" applyAlignment="1">
      <alignment horizontal="center" vertical="center" wrapText="1"/>
    </xf>
    <xf numFmtId="0" fontId="2" fillId="0" borderId="3" xfId="2" applyFont="1" applyBorder="1" applyAlignment="1">
      <alignment horizontal="center" vertical="center" wrapText="1"/>
    </xf>
    <xf numFmtId="0" fontId="2" fillId="0" borderId="5" xfId="2" applyFont="1" applyBorder="1" applyAlignment="1">
      <alignment horizontal="center" vertical="center" wrapText="1"/>
    </xf>
    <xf numFmtId="0" fontId="2" fillId="0" borderId="23" xfId="2" applyFont="1" applyBorder="1" applyAlignment="1">
      <alignment horizontal="center" vertical="center" wrapText="1"/>
    </xf>
    <xf numFmtId="0" fontId="2" fillId="0" borderId="26" xfId="2" applyFont="1" applyBorder="1" applyAlignment="1">
      <alignment horizontal="center" vertical="center" wrapText="1"/>
    </xf>
    <xf numFmtId="0" fontId="2" fillId="0" borderId="13" xfId="2" applyFont="1" applyBorder="1" applyAlignment="1">
      <alignment horizontal="center" vertical="center" wrapText="1"/>
    </xf>
    <xf numFmtId="0" fontId="2" fillId="0" borderId="33" xfId="2" applyFont="1" applyBorder="1" applyAlignment="1">
      <alignment horizontal="center" vertical="center" wrapText="1"/>
    </xf>
    <xf numFmtId="0" fontId="23" fillId="0" borderId="26" xfId="2" applyFont="1" applyBorder="1" applyAlignment="1">
      <alignment horizontal="left" vertical="top" wrapText="1"/>
    </xf>
    <xf numFmtId="0" fontId="23" fillId="0" borderId="13" xfId="2" applyFont="1" applyBorder="1" applyAlignment="1">
      <alignment horizontal="left" vertical="top" wrapText="1"/>
    </xf>
    <xf numFmtId="0" fontId="23" fillId="0" borderId="33" xfId="2" applyFont="1" applyBorder="1" applyAlignment="1">
      <alignment horizontal="left" vertical="top" wrapText="1"/>
    </xf>
    <xf numFmtId="0" fontId="23" fillId="0" borderId="10" xfId="2" applyFont="1" applyBorder="1" applyAlignment="1">
      <alignment horizontal="left" vertical="top" wrapText="1"/>
    </xf>
    <xf numFmtId="0" fontId="23" fillId="0" borderId="0" xfId="2" applyFont="1" applyAlignment="1">
      <alignment horizontal="left" vertical="top" wrapText="1"/>
    </xf>
    <xf numFmtId="0" fontId="23" fillId="0" borderId="21" xfId="2" applyFont="1" applyBorder="1" applyAlignment="1">
      <alignment horizontal="left" vertical="top" wrapText="1"/>
    </xf>
    <xf numFmtId="0" fontId="23" fillId="0" borderId="19" xfId="2" applyFont="1" applyBorder="1" applyAlignment="1">
      <alignment horizontal="left" vertical="top" wrapText="1"/>
    </xf>
    <xf numFmtId="0" fontId="23" fillId="0" borderId="15" xfId="2" applyFont="1" applyBorder="1" applyAlignment="1">
      <alignment horizontal="left" vertical="top" wrapText="1"/>
    </xf>
    <xf numFmtId="0" fontId="23" fillId="0" borderId="29" xfId="2" applyFont="1" applyBorder="1" applyAlignment="1">
      <alignment horizontal="left" vertical="top" wrapText="1"/>
    </xf>
    <xf numFmtId="0" fontId="15" fillId="0" borderId="35" xfId="0" applyFont="1" applyBorder="1" applyAlignment="1">
      <alignment horizontal="center" vertical="center"/>
    </xf>
    <xf numFmtId="0" fontId="15" fillId="0" borderId="17" xfId="0" applyFont="1" applyBorder="1" applyAlignment="1">
      <alignment horizontal="center" vertical="center"/>
    </xf>
    <xf numFmtId="0" fontId="15" fillId="0" borderId="34" xfId="0" applyFont="1" applyBorder="1" applyAlignment="1">
      <alignment horizontal="center" vertical="center"/>
    </xf>
    <xf numFmtId="40" fontId="15" fillId="0" borderId="35" xfId="2" applyNumberFormat="1" applyFont="1" applyBorder="1" applyAlignment="1">
      <alignment vertical="center"/>
    </xf>
    <xf numFmtId="40" fontId="15" fillId="0" borderId="17" xfId="2" applyNumberFormat="1" applyFont="1" applyBorder="1" applyAlignment="1">
      <alignment vertical="center"/>
    </xf>
    <xf numFmtId="40" fontId="15" fillId="0" borderId="34" xfId="2" applyNumberFormat="1" applyFont="1" applyBorder="1" applyAlignment="1">
      <alignment vertical="center"/>
    </xf>
    <xf numFmtId="40" fontId="15" fillId="0" borderId="18" xfId="2" applyNumberFormat="1" applyFont="1" applyBorder="1" applyAlignment="1">
      <alignment vertical="center"/>
    </xf>
    <xf numFmtId="0" fontId="15" fillId="0" borderId="35" xfId="2" applyFont="1" applyBorder="1" applyAlignment="1">
      <alignment horizontal="center" vertical="center"/>
    </xf>
    <xf numFmtId="0" fontId="15" fillId="0" borderId="17" xfId="2" applyFont="1" applyBorder="1" applyAlignment="1">
      <alignment horizontal="center" vertical="center"/>
    </xf>
    <xf numFmtId="0" fontId="15" fillId="0" borderId="34" xfId="2" applyFont="1" applyBorder="1" applyAlignment="1">
      <alignment horizontal="center" vertical="center"/>
    </xf>
    <xf numFmtId="40" fontId="17" fillId="0" borderId="35" xfId="2" applyNumberFormat="1" applyFont="1" applyBorder="1" applyAlignment="1">
      <alignment vertical="center"/>
    </xf>
    <xf numFmtId="40" fontId="17" fillId="0" borderId="17" xfId="2" applyNumberFormat="1" applyFont="1" applyBorder="1" applyAlignment="1">
      <alignment vertical="center"/>
    </xf>
    <xf numFmtId="40" fontId="17" fillId="0" borderId="18" xfId="2" applyNumberFormat="1" applyFont="1" applyBorder="1" applyAlignment="1">
      <alignment vertical="center"/>
    </xf>
    <xf numFmtId="0" fontId="2" fillId="0" borderId="12" xfId="2" applyFont="1" applyBorder="1" applyAlignment="1">
      <alignment horizontal="center" vertical="center" wrapText="1"/>
    </xf>
    <xf numFmtId="0" fontId="1" fillId="0" borderId="16" xfId="2" applyFont="1" applyBorder="1" applyAlignment="1">
      <alignment horizontal="center" vertical="top"/>
    </xf>
    <xf numFmtId="0" fontId="1" fillId="0" borderId="17" xfId="2" applyFont="1" applyBorder="1" applyAlignment="1">
      <alignment horizontal="center" vertical="top"/>
    </xf>
    <xf numFmtId="0" fontId="1" fillId="0" borderId="34" xfId="2" applyFont="1" applyBorder="1" applyAlignment="1">
      <alignment horizontal="center" vertical="top"/>
    </xf>
    <xf numFmtId="0" fontId="1" fillId="0" borderId="35" xfId="2" applyFont="1" applyBorder="1" applyAlignment="1">
      <alignment horizontal="center" vertical="center"/>
    </xf>
    <xf numFmtId="0" fontId="1" fillId="0" borderId="17" xfId="2" applyFont="1" applyBorder="1" applyAlignment="1">
      <alignment horizontal="center" vertical="center"/>
    </xf>
    <xf numFmtId="0" fontId="1" fillId="0" borderId="34" xfId="2" applyFont="1" applyBorder="1" applyAlignment="1">
      <alignment horizontal="center" vertical="center"/>
    </xf>
    <xf numFmtId="0" fontId="1" fillId="0" borderId="18" xfId="2" applyFont="1" applyBorder="1" applyAlignment="1">
      <alignment horizontal="center" vertical="center"/>
    </xf>
    <xf numFmtId="0" fontId="2" fillId="0" borderId="16" xfId="2" applyFont="1" applyBorder="1" applyAlignment="1">
      <alignment horizontal="left" vertical="center"/>
    </xf>
    <xf numFmtId="0" fontId="2" fillId="0" borderId="17" xfId="2" applyFont="1" applyBorder="1" applyAlignment="1">
      <alignment horizontal="left" vertical="center"/>
    </xf>
    <xf numFmtId="0" fontId="2" fillId="0" borderId="34" xfId="2" applyFont="1" applyBorder="1" applyAlignment="1">
      <alignment horizontal="left" vertical="center"/>
    </xf>
    <xf numFmtId="40" fontId="17" fillId="0" borderId="34" xfId="2" applyNumberFormat="1" applyFont="1" applyBorder="1" applyAlignment="1">
      <alignment vertical="center"/>
    </xf>
    <xf numFmtId="0" fontId="1" fillId="0" borderId="16" xfId="2" applyFont="1" applyBorder="1" applyAlignment="1">
      <alignment horizontal="left" vertical="center" wrapText="1"/>
    </xf>
    <xf numFmtId="0" fontId="1" fillId="0" borderId="17" xfId="2" applyFont="1" applyBorder="1" applyAlignment="1">
      <alignment horizontal="left" vertical="center" wrapText="1"/>
    </xf>
    <xf numFmtId="0" fontId="1" fillId="0" borderId="18" xfId="2" applyFont="1" applyBorder="1" applyAlignment="1">
      <alignment horizontal="left" vertical="center" wrapText="1"/>
    </xf>
    <xf numFmtId="0" fontId="2" fillId="0" borderId="12" xfId="2" applyFont="1" applyBorder="1" applyAlignment="1">
      <alignment horizontal="center" wrapText="1"/>
    </xf>
    <xf numFmtId="0" fontId="1" fillId="0" borderId="13" xfId="2" applyFont="1" applyBorder="1" applyAlignment="1">
      <alignment horizontal="center"/>
    </xf>
    <xf numFmtId="0" fontId="1" fillId="0" borderId="14" xfId="2" applyFont="1" applyBorder="1" applyAlignment="1">
      <alignment horizontal="center"/>
    </xf>
    <xf numFmtId="0" fontId="1" fillId="0" borderId="4" xfId="2" applyFont="1" applyBorder="1" applyAlignment="1">
      <alignment horizontal="center"/>
    </xf>
    <xf numFmtId="0" fontId="1" fillId="0" borderId="0" xfId="2" applyFont="1" applyAlignment="1">
      <alignment horizontal="center"/>
    </xf>
    <xf numFmtId="0" fontId="1" fillId="0" borderId="5" xfId="2" applyFont="1" applyBorder="1" applyAlignment="1">
      <alignment horizontal="center"/>
    </xf>
    <xf numFmtId="0" fontId="1" fillId="0" borderId="22" xfId="2" applyFont="1" applyBorder="1" applyAlignment="1">
      <alignment horizontal="center"/>
    </xf>
    <xf numFmtId="0" fontId="1" fillId="0" borderId="15" xfId="2" applyFont="1" applyBorder="1" applyAlignment="1">
      <alignment horizontal="center"/>
    </xf>
    <xf numFmtId="0" fontId="1" fillId="0" borderId="23" xfId="2" applyFont="1" applyBorder="1" applyAlignment="1">
      <alignment horizontal="center"/>
    </xf>
    <xf numFmtId="0" fontId="1" fillId="0" borderId="12" xfId="2" applyFont="1" applyBorder="1" applyAlignment="1">
      <alignment horizontal="center" vertical="top"/>
    </xf>
    <xf numFmtId="0" fontId="1" fillId="0" borderId="13" xfId="2" applyFont="1" applyBorder="1" applyAlignment="1">
      <alignment horizontal="center" vertical="top"/>
    </xf>
    <xf numFmtId="0" fontId="1" fillId="0" borderId="14" xfId="2" applyFont="1" applyBorder="1" applyAlignment="1">
      <alignment horizontal="center" vertical="top"/>
    </xf>
    <xf numFmtId="0" fontId="4" fillId="0" borderId="22" xfId="2" applyFont="1" applyBorder="1" applyAlignment="1">
      <alignment horizontal="center" vertical="top"/>
    </xf>
    <xf numFmtId="0" fontId="4" fillId="0" borderId="15" xfId="2" applyFont="1" applyBorder="1" applyAlignment="1">
      <alignment horizontal="center" vertical="top"/>
    </xf>
    <xf numFmtId="0" fontId="4" fillId="0" borderId="23" xfId="2" applyFont="1" applyBorder="1" applyAlignment="1">
      <alignment horizontal="center" vertical="top"/>
    </xf>
    <xf numFmtId="0" fontId="13" fillId="0" borderId="12" xfId="2" applyFont="1" applyBorder="1" applyAlignment="1">
      <alignment horizontal="center" vertical="top"/>
    </xf>
    <xf numFmtId="0" fontId="13" fillId="0" borderId="13" xfId="2" applyFont="1" applyBorder="1" applyAlignment="1">
      <alignment horizontal="center" vertical="top"/>
    </xf>
    <xf numFmtId="0" fontId="1" fillId="0" borderId="13" xfId="2" applyFont="1" applyBorder="1" applyAlignment="1">
      <alignment horizontal="left" vertical="center" wrapText="1"/>
    </xf>
    <xf numFmtId="0" fontId="1" fillId="0" borderId="0" xfId="2" applyFont="1" applyAlignment="1">
      <alignment horizontal="left" vertical="center" wrapText="1"/>
    </xf>
    <xf numFmtId="0" fontId="1" fillId="0" borderId="13" xfId="2" applyFont="1" applyBorder="1" applyAlignment="1">
      <alignment horizontal="center" vertical="center"/>
    </xf>
    <xf numFmtId="0" fontId="13" fillId="0" borderId="4" xfId="2" applyFont="1" applyBorder="1" applyAlignment="1">
      <alignment horizontal="center" vertical="top"/>
    </xf>
    <xf numFmtId="0" fontId="13" fillId="0" borderId="0" xfId="2" applyFont="1" applyAlignment="1">
      <alignment horizontal="center" vertical="top"/>
    </xf>
    <xf numFmtId="0" fontId="5" fillId="0" borderId="0" xfId="2" applyFont="1" applyAlignment="1">
      <alignment horizontal="center" vertical="center"/>
    </xf>
    <xf numFmtId="0" fontId="1" fillId="0" borderId="4" xfId="2" applyFont="1" applyBorder="1" applyAlignment="1">
      <alignment horizontal="center" vertical="top"/>
    </xf>
    <xf numFmtId="0" fontId="1" fillId="0" borderId="0" xfId="2" applyFont="1" applyAlignment="1">
      <alignment horizontal="center" vertical="top"/>
    </xf>
    <xf numFmtId="0" fontId="1" fillId="0" borderId="5" xfId="2" applyFont="1" applyBorder="1" applyAlignment="1">
      <alignment horizontal="center" vertical="top"/>
    </xf>
    <xf numFmtId="0" fontId="1" fillId="0" borderId="22" xfId="2" applyFont="1" applyBorder="1" applyAlignment="1">
      <alignment horizontal="center" vertical="top"/>
    </xf>
    <xf numFmtId="0" fontId="1" fillId="0" borderId="15" xfId="2" applyFont="1" applyBorder="1" applyAlignment="1">
      <alignment horizontal="center" vertical="top"/>
    </xf>
    <xf numFmtId="0" fontId="1" fillId="0" borderId="23" xfId="2" applyFont="1" applyBorder="1" applyAlignment="1">
      <alignment horizontal="center" vertical="top"/>
    </xf>
    <xf numFmtId="0" fontId="1" fillId="0" borderId="7" xfId="2" applyFont="1" applyBorder="1" applyAlignment="1">
      <alignment horizontal="left" vertical="center" wrapText="1"/>
    </xf>
    <xf numFmtId="0" fontId="13" fillId="0" borderId="6" xfId="2" applyFont="1" applyBorder="1" applyAlignment="1">
      <alignment horizontal="center" vertical="top"/>
    </xf>
    <xf numFmtId="0" fontId="13" fillId="0" borderId="7" xfId="2" applyFont="1" applyBorder="1" applyAlignment="1">
      <alignment horizontal="center" vertical="top"/>
    </xf>
    <xf numFmtId="0" fontId="5" fillId="0" borderId="7" xfId="2" applyFont="1" applyBorder="1" applyAlignment="1">
      <alignment horizontal="center" vertical="center"/>
    </xf>
    <xf numFmtId="0" fontId="3" fillId="0" borderId="2" xfId="0" applyFont="1" applyBorder="1" applyAlignment="1">
      <alignment horizontal="center" vertical="center" wrapText="1"/>
    </xf>
    <xf numFmtId="0" fontId="3" fillId="0" borderId="0" xfId="0" applyFont="1" applyAlignment="1">
      <alignment horizontal="center" vertical="center" wrapText="1"/>
    </xf>
    <xf numFmtId="0" fontId="3" fillId="0" borderId="7" xfId="0" applyFont="1" applyBorder="1" applyAlignment="1">
      <alignment horizontal="center" vertical="center" wrapText="1"/>
    </xf>
    <xf numFmtId="0" fontId="1" fillId="0" borderId="2" xfId="0" applyFont="1" applyBorder="1" applyAlignment="1">
      <alignment horizontal="center" vertical="center"/>
    </xf>
    <xf numFmtId="0" fontId="1" fillId="0" borderId="7" xfId="0" applyFont="1" applyBorder="1" applyAlignment="1">
      <alignment horizontal="center" vertical="center"/>
    </xf>
    <xf numFmtId="0" fontId="2" fillId="0" borderId="1" xfId="0" applyFont="1" applyBorder="1" applyAlignment="1">
      <alignment horizontal="center" vertical="center"/>
    </xf>
    <xf numFmtId="0" fontId="2" fillId="0" borderId="6" xfId="0" applyFont="1" applyBorder="1" applyAlignment="1">
      <alignment horizontal="center" vertical="center"/>
    </xf>
    <xf numFmtId="0" fontId="2" fillId="0" borderId="22" xfId="0" applyFont="1" applyBorder="1" applyAlignment="1">
      <alignment horizontal="center" vertical="center"/>
    </xf>
    <xf numFmtId="0" fontId="1" fillId="0" borderId="2" xfId="0" applyFont="1" applyBorder="1" applyAlignment="1">
      <alignment horizontal="left" vertical="center"/>
    </xf>
    <xf numFmtId="0" fontId="1" fillId="0" borderId="15" xfId="0" applyFont="1" applyBorder="1" applyAlignment="1">
      <alignment horizontal="left" vertical="center"/>
    </xf>
    <xf numFmtId="0" fontId="2" fillId="0" borderId="11" xfId="0" applyFont="1" applyBorder="1" applyAlignment="1">
      <alignment horizontal="center" vertical="top"/>
    </xf>
    <xf numFmtId="0" fontId="2" fillId="0" borderId="24" xfId="0" applyFont="1" applyBorder="1" applyAlignment="1">
      <alignment horizontal="center" vertical="top"/>
    </xf>
    <xf numFmtId="0" fontId="2" fillId="0" borderId="25" xfId="0" applyFont="1" applyBorder="1" applyAlignment="1">
      <alignment horizontal="center" vertical="top"/>
    </xf>
    <xf numFmtId="0" fontId="2" fillId="0" borderId="0" xfId="0" applyFont="1" applyAlignment="1">
      <alignment horizontal="center" vertical="center"/>
    </xf>
    <xf numFmtId="0" fontId="2" fillId="0" borderId="7" xfId="0" applyFont="1" applyBorder="1" applyAlignment="1">
      <alignment horizontal="center" vertical="top"/>
    </xf>
    <xf numFmtId="164" fontId="2" fillId="0" borderId="0" xfId="0" applyNumberFormat="1" applyFont="1" applyAlignment="1">
      <alignment horizontal="right" vertical="center"/>
    </xf>
    <xf numFmtId="0" fontId="2" fillId="0" borderId="0" xfId="0" applyFont="1" applyAlignment="1">
      <alignment horizontal="right" vertical="center"/>
    </xf>
    <xf numFmtId="0" fontId="4" fillId="0" borderId="2" xfId="0" applyFont="1" applyBorder="1" applyAlignment="1">
      <alignment horizontal="left" vertical="center"/>
    </xf>
    <xf numFmtId="0" fontId="4" fillId="0" borderId="3" xfId="0" applyFont="1" applyBorder="1" applyAlignment="1">
      <alignment horizontal="left" vertical="center"/>
    </xf>
    <xf numFmtId="0" fontId="4" fillId="0" borderId="7" xfId="0" applyFont="1" applyBorder="1" applyAlignment="1">
      <alignment horizontal="left" vertical="center"/>
    </xf>
    <xf numFmtId="0" fontId="4" fillId="0" borderId="8" xfId="0" applyFont="1" applyBorder="1" applyAlignment="1">
      <alignment horizontal="left" vertical="center"/>
    </xf>
    <xf numFmtId="0" fontId="1" fillId="0" borderId="2" xfId="0" applyFont="1" applyBorder="1" applyAlignment="1">
      <alignment horizontal="right" vertical="center"/>
    </xf>
    <xf numFmtId="0" fontId="1" fillId="0" borderId="7" xfId="0" applyFont="1" applyBorder="1" applyAlignment="1">
      <alignment horizontal="right" vertical="center"/>
    </xf>
    <xf numFmtId="0" fontId="4" fillId="0" borderId="2" xfId="0" applyFont="1" applyBorder="1" applyAlignment="1">
      <alignment horizontal="center" vertical="center"/>
    </xf>
    <xf numFmtId="0" fontId="4" fillId="0" borderId="7" xfId="0" applyFont="1" applyBorder="1" applyAlignment="1">
      <alignment horizontal="center" vertical="center"/>
    </xf>
    <xf numFmtId="40" fontId="15" fillId="0" borderId="35" xfId="0" applyNumberFormat="1" applyFont="1" applyBorder="1" applyAlignment="1">
      <alignment vertical="center"/>
    </xf>
    <xf numFmtId="40" fontId="15" fillId="0" borderId="17" xfId="0" applyNumberFormat="1" applyFont="1" applyBorder="1" applyAlignment="1">
      <alignment vertical="center"/>
    </xf>
    <xf numFmtId="40" fontId="15" fillId="0" borderId="34" xfId="0" applyNumberFormat="1" applyFont="1" applyBorder="1" applyAlignment="1">
      <alignment vertical="center"/>
    </xf>
    <xf numFmtId="0" fontId="2" fillId="0" borderId="11" xfId="0" applyFont="1" applyBorder="1" applyAlignment="1">
      <alignment horizontal="center" vertical="center" wrapText="1"/>
    </xf>
    <xf numFmtId="0" fontId="1" fillId="0" borderId="24" xfId="0" applyFont="1" applyBorder="1" applyAlignment="1">
      <alignment horizontal="center" vertical="center" wrapText="1"/>
    </xf>
    <xf numFmtId="0" fontId="1" fillId="0" borderId="25" xfId="0" applyFont="1" applyBorder="1" applyAlignment="1">
      <alignment horizontal="center" vertical="center" wrapText="1"/>
    </xf>
    <xf numFmtId="0" fontId="2" fillId="0" borderId="9"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29" xfId="0" applyFont="1" applyBorder="1" applyAlignment="1">
      <alignment horizontal="center" vertical="center" wrapText="1"/>
    </xf>
    <xf numFmtId="0" fontId="2" fillId="0" borderId="1" xfId="0" applyFont="1" applyBorder="1" applyAlignment="1">
      <alignment horizontal="center" vertical="center" wrapText="1"/>
    </xf>
    <xf numFmtId="0" fontId="2" fillId="0" borderId="4"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26" xfId="0" applyFont="1" applyBorder="1" applyAlignment="1">
      <alignment horizontal="center" vertical="center" wrapText="1"/>
    </xf>
    <xf numFmtId="0" fontId="2" fillId="0" borderId="13" xfId="0" applyFont="1" applyBorder="1" applyAlignment="1">
      <alignment horizontal="center" vertical="center" wrapText="1"/>
    </xf>
    <xf numFmtId="0" fontId="2" fillId="0" borderId="33" xfId="0" applyFont="1" applyBorder="1" applyAlignment="1">
      <alignment horizontal="center" vertical="center" wrapText="1"/>
    </xf>
    <xf numFmtId="0" fontId="15" fillId="0" borderId="16" xfId="0" applyFont="1" applyBorder="1" applyAlignment="1">
      <alignment horizontal="center" vertical="top"/>
    </xf>
    <xf numFmtId="0" fontId="15" fillId="0" borderId="17" xfId="0" applyFont="1" applyBorder="1" applyAlignment="1">
      <alignment horizontal="center" vertical="top"/>
    </xf>
    <xf numFmtId="0" fontId="15" fillId="0" borderId="34" xfId="0" applyFont="1" applyBorder="1" applyAlignment="1">
      <alignment horizontal="center" vertical="top"/>
    </xf>
    <xf numFmtId="40" fontId="15" fillId="0" borderId="18" xfId="0" applyNumberFormat="1" applyFont="1" applyBorder="1" applyAlignment="1">
      <alignment vertical="center"/>
    </xf>
    <xf numFmtId="0" fontId="18" fillId="0" borderId="12" xfId="0" applyFont="1" applyBorder="1" applyAlignment="1">
      <alignment horizontal="left" vertical="top" wrapText="1"/>
    </xf>
    <xf numFmtId="0" fontId="18" fillId="0" borderId="13" xfId="0" applyFont="1" applyBorder="1" applyAlignment="1">
      <alignment horizontal="left" vertical="top" wrapText="1"/>
    </xf>
    <xf numFmtId="0" fontId="18" fillId="0" borderId="33" xfId="0" applyFont="1" applyBorder="1" applyAlignment="1">
      <alignment horizontal="left" vertical="top" wrapText="1"/>
    </xf>
    <xf numFmtId="0" fontId="18" fillId="0" borderId="4" xfId="0" applyFont="1" applyBorder="1" applyAlignment="1">
      <alignment horizontal="left" vertical="top" wrapText="1"/>
    </xf>
    <xf numFmtId="0" fontId="18" fillId="0" borderId="0" xfId="0" applyFont="1" applyAlignment="1">
      <alignment horizontal="left" vertical="top" wrapText="1"/>
    </xf>
    <xf numFmtId="0" fontId="18" fillId="0" borderId="21" xfId="0" applyFont="1" applyBorder="1" applyAlignment="1">
      <alignment horizontal="left" vertical="top" wrapText="1"/>
    </xf>
    <xf numFmtId="0" fontId="18" fillId="0" borderId="22" xfId="0" applyFont="1" applyBorder="1" applyAlignment="1">
      <alignment horizontal="left" vertical="top" wrapText="1"/>
    </xf>
    <xf numFmtId="0" fontId="18" fillId="0" borderId="15" xfId="0" applyFont="1" applyBorder="1" applyAlignment="1">
      <alignment horizontal="left" vertical="top" wrapText="1"/>
    </xf>
    <xf numFmtId="0" fontId="18" fillId="0" borderId="29" xfId="0" applyFont="1" applyBorder="1" applyAlignment="1">
      <alignment horizontal="left" vertical="top" wrapText="1"/>
    </xf>
    <xf numFmtId="0" fontId="1" fillId="0" borderId="16" xfId="0" applyFont="1" applyBorder="1" applyAlignment="1">
      <alignment horizontal="center" vertical="top"/>
    </xf>
    <xf numFmtId="0" fontId="1" fillId="0" borderId="17" xfId="0" applyFont="1" applyBorder="1" applyAlignment="1">
      <alignment horizontal="center" vertical="top"/>
    </xf>
    <xf numFmtId="0" fontId="1" fillId="0" borderId="34" xfId="0" applyFont="1" applyBorder="1" applyAlignment="1">
      <alignment horizontal="center" vertical="top"/>
    </xf>
    <xf numFmtId="0" fontId="1" fillId="0" borderId="35" xfId="0" applyFont="1" applyBorder="1" applyAlignment="1">
      <alignment horizontal="center" vertical="center"/>
    </xf>
    <xf numFmtId="0" fontId="1" fillId="0" borderId="17" xfId="0" applyFont="1" applyBorder="1" applyAlignment="1">
      <alignment horizontal="center" vertical="center"/>
    </xf>
    <xf numFmtId="0" fontId="1" fillId="0" borderId="34" xfId="0" applyFont="1" applyBorder="1" applyAlignment="1">
      <alignment horizontal="center" vertical="center"/>
    </xf>
    <xf numFmtId="0" fontId="1" fillId="0" borderId="18" xfId="0" applyFont="1" applyBorder="1" applyAlignment="1">
      <alignment horizontal="center" vertical="center"/>
    </xf>
    <xf numFmtId="0" fontId="2" fillId="0" borderId="12" xfId="0" applyFont="1" applyBorder="1" applyAlignment="1">
      <alignment horizontal="center" vertical="center" wrapText="1"/>
    </xf>
    <xf numFmtId="0" fontId="2" fillId="0" borderId="16" xfId="0" applyFont="1" applyBorder="1" applyAlignment="1">
      <alignment horizontal="left" vertical="center"/>
    </xf>
    <xf numFmtId="0" fontId="2" fillId="0" borderId="17" xfId="0" applyFont="1" applyBorder="1" applyAlignment="1">
      <alignment horizontal="left" vertical="center"/>
    </xf>
    <xf numFmtId="0" fontId="2" fillId="0" borderId="34" xfId="0" applyFont="1" applyBorder="1" applyAlignment="1">
      <alignment horizontal="left" vertical="center"/>
    </xf>
    <xf numFmtId="0" fontId="1" fillId="0" borderId="12" xfId="0" applyFont="1" applyBorder="1" applyAlignment="1">
      <alignment horizontal="center" vertical="top"/>
    </xf>
    <xf numFmtId="0" fontId="1" fillId="0" borderId="13" xfId="0" applyFont="1" applyBorder="1" applyAlignment="1">
      <alignment horizontal="center" vertical="top"/>
    </xf>
    <xf numFmtId="0" fontId="1" fillId="0" borderId="14" xfId="0" applyFont="1" applyBorder="1" applyAlignment="1">
      <alignment horizontal="center" vertical="top"/>
    </xf>
    <xf numFmtId="0" fontId="1" fillId="0" borderId="4" xfId="0" applyFont="1" applyBorder="1" applyAlignment="1">
      <alignment horizontal="center" vertical="top"/>
    </xf>
    <xf numFmtId="0" fontId="1" fillId="0" borderId="0" xfId="0" applyFont="1" applyAlignment="1">
      <alignment horizontal="center" vertical="top"/>
    </xf>
    <xf numFmtId="0" fontId="1" fillId="0" borderId="5" xfId="0" applyFont="1" applyBorder="1" applyAlignment="1">
      <alignment horizontal="center" vertical="top"/>
    </xf>
    <xf numFmtId="0" fontId="1" fillId="0" borderId="22" xfId="0" applyFont="1" applyBorder="1" applyAlignment="1">
      <alignment horizontal="center" vertical="top"/>
    </xf>
    <xf numFmtId="0" fontId="1" fillId="0" borderId="15" xfId="0" applyFont="1" applyBorder="1" applyAlignment="1">
      <alignment horizontal="center" vertical="top"/>
    </xf>
    <xf numFmtId="0" fontId="1" fillId="0" borderId="23" xfId="0" applyFont="1" applyBorder="1" applyAlignment="1">
      <alignment horizontal="center" vertical="top"/>
    </xf>
    <xf numFmtId="0" fontId="4" fillId="0" borderId="22" xfId="0" applyFont="1" applyBorder="1" applyAlignment="1">
      <alignment horizontal="center" vertical="top"/>
    </xf>
    <xf numFmtId="0" fontId="4" fillId="0" borderId="15" xfId="0" applyFont="1" applyBorder="1" applyAlignment="1">
      <alignment horizontal="center" vertical="top"/>
    </xf>
    <xf numFmtId="0" fontId="4" fillId="0" borderId="23" xfId="0" applyFont="1" applyBorder="1" applyAlignment="1">
      <alignment horizontal="center" vertical="top"/>
    </xf>
    <xf numFmtId="0" fontId="13" fillId="0" borderId="12" xfId="0" applyFont="1" applyBorder="1" applyAlignment="1">
      <alignment horizontal="center" vertical="top"/>
    </xf>
    <xf numFmtId="0" fontId="13" fillId="0" borderId="13" xfId="0" applyFont="1" applyBorder="1" applyAlignment="1">
      <alignment horizontal="center" vertical="top"/>
    </xf>
    <xf numFmtId="0" fontId="1" fillId="0" borderId="13" xfId="0" applyFont="1" applyBorder="1" applyAlignment="1">
      <alignment horizontal="left" vertical="center" wrapText="1"/>
    </xf>
    <xf numFmtId="0" fontId="1" fillId="0" borderId="7" xfId="0" applyFont="1" applyBorder="1" applyAlignment="1">
      <alignment horizontal="left" vertical="center" wrapText="1"/>
    </xf>
    <xf numFmtId="0" fontId="1" fillId="0" borderId="13" xfId="0" applyFont="1" applyBorder="1" applyAlignment="1">
      <alignment horizontal="center" vertical="center"/>
    </xf>
    <xf numFmtId="0" fontId="13" fillId="0" borderId="6" xfId="0" applyFont="1" applyBorder="1" applyAlignment="1">
      <alignment horizontal="center" vertical="top"/>
    </xf>
    <xf numFmtId="0" fontId="13" fillId="0" borderId="7" xfId="0" applyFont="1" applyBorder="1" applyAlignment="1">
      <alignment horizontal="center" vertical="top"/>
    </xf>
    <xf numFmtId="0" fontId="5" fillId="0" borderId="7" xfId="0" applyFont="1" applyBorder="1" applyAlignment="1">
      <alignment horizontal="center" vertical="center"/>
    </xf>
    <xf numFmtId="0" fontId="5" fillId="0" borderId="0" xfId="0" applyFont="1" applyAlignment="1">
      <alignment horizontal="center" vertical="center"/>
    </xf>
    <xf numFmtId="0" fontId="13" fillId="0" borderId="4" xfId="0" applyFont="1" applyBorder="1" applyAlignment="1">
      <alignment horizontal="center" vertical="top"/>
    </xf>
    <xf numFmtId="0" fontId="13" fillId="0" borderId="0" xfId="0" applyFont="1" applyAlignment="1">
      <alignment horizontal="center" vertical="top"/>
    </xf>
    <xf numFmtId="0" fontId="1" fillId="0" borderId="0" xfId="0" applyFont="1" applyAlignment="1">
      <alignment horizontal="left" vertical="center" wrapText="1"/>
    </xf>
    <xf numFmtId="0" fontId="1" fillId="0" borderId="16" xfId="0" applyFont="1" applyBorder="1" applyAlignment="1">
      <alignment horizontal="left" vertical="center" wrapText="1"/>
    </xf>
    <xf numFmtId="0" fontId="1" fillId="0" borderId="17" xfId="0" applyFont="1" applyBorder="1" applyAlignment="1">
      <alignment horizontal="left" vertical="center" wrapText="1"/>
    </xf>
    <xf numFmtId="0" fontId="1" fillId="0" borderId="18" xfId="0" applyFont="1" applyBorder="1" applyAlignment="1">
      <alignment horizontal="left" vertical="center" wrapText="1"/>
    </xf>
    <xf numFmtId="0" fontId="2" fillId="0" borderId="12" xfId="0" applyFont="1" applyBorder="1" applyAlignment="1">
      <alignment horizontal="center" wrapText="1"/>
    </xf>
    <xf numFmtId="0" fontId="2" fillId="0" borderId="13" xfId="0" applyFont="1" applyBorder="1" applyAlignment="1">
      <alignment horizontal="center"/>
    </xf>
    <xf numFmtId="0" fontId="2" fillId="0" borderId="14" xfId="0" applyFont="1" applyBorder="1" applyAlignment="1">
      <alignment horizontal="center"/>
    </xf>
    <xf numFmtId="0" fontId="2" fillId="0" borderId="4" xfId="0" applyFont="1" applyBorder="1" applyAlignment="1">
      <alignment horizontal="center"/>
    </xf>
    <xf numFmtId="0" fontId="2" fillId="0" borderId="0" xfId="0" applyFont="1" applyAlignment="1">
      <alignment horizontal="center"/>
    </xf>
    <xf numFmtId="0" fontId="2" fillId="0" borderId="5" xfId="0" applyFont="1" applyBorder="1" applyAlignment="1">
      <alignment horizontal="center"/>
    </xf>
    <xf numFmtId="0" fontId="2" fillId="0" borderId="22" xfId="0" applyFont="1" applyBorder="1" applyAlignment="1">
      <alignment horizontal="center"/>
    </xf>
    <xf numFmtId="0" fontId="2" fillId="0" borderId="15" xfId="0" applyFont="1" applyBorder="1" applyAlignment="1">
      <alignment horizontal="center"/>
    </xf>
    <xf numFmtId="0" fontId="2" fillId="0" borderId="23" xfId="0" applyFont="1" applyBorder="1" applyAlignment="1">
      <alignment horizontal="center"/>
    </xf>
    <xf numFmtId="0" fontId="2" fillId="0" borderId="11" xfId="0" applyFont="1" applyBorder="1" applyAlignment="1">
      <alignment horizontal="center" vertical="center"/>
    </xf>
    <xf numFmtId="0" fontId="2" fillId="0" borderId="24" xfId="0" applyFont="1" applyBorder="1" applyAlignment="1">
      <alignment horizontal="center" vertical="center"/>
    </xf>
    <xf numFmtId="0" fontId="2" fillId="0" borderId="25" xfId="0" applyFont="1" applyBorder="1" applyAlignment="1">
      <alignment horizontal="center" vertical="center"/>
    </xf>
    <xf numFmtId="0" fontId="2" fillId="0" borderId="6" xfId="0" applyFont="1" applyBorder="1" applyAlignment="1">
      <alignment horizontal="center" vertical="center" wrapText="1"/>
    </xf>
    <xf numFmtId="0" fontId="7" fillId="0" borderId="20" xfId="0" applyFont="1" applyBorder="1" applyAlignment="1">
      <alignment horizontal="left" vertical="center" wrapText="1"/>
    </xf>
    <xf numFmtId="0" fontId="7" fillId="0" borderId="36" xfId="0" applyFont="1" applyBorder="1" applyAlignment="1">
      <alignment horizontal="left" vertical="center" wrapText="1"/>
    </xf>
    <xf numFmtId="0" fontId="7" fillId="0" borderId="28" xfId="0" applyFont="1" applyBorder="1" applyAlignment="1">
      <alignment horizontal="left" vertical="center" wrapText="1"/>
    </xf>
    <xf numFmtId="0" fontId="7" fillId="0" borderId="37" xfId="0" applyFont="1" applyBorder="1" applyAlignment="1">
      <alignment horizontal="left" vertical="center" wrapText="1"/>
    </xf>
    <xf numFmtId="0" fontId="7" fillId="0" borderId="38" xfId="0" applyFont="1" applyBorder="1" applyAlignment="1">
      <alignment horizontal="center" vertical="center" wrapText="1"/>
    </xf>
    <xf numFmtId="0" fontId="2" fillId="0" borderId="27" xfId="0" applyFont="1" applyBorder="1" applyAlignment="1">
      <alignment horizontal="center" vertical="center" wrapText="1"/>
    </xf>
    <xf numFmtId="0" fontId="7" fillId="0" borderId="39" xfId="0" applyFont="1" applyBorder="1" applyAlignment="1">
      <alignment horizontal="center" vertical="center" wrapText="1"/>
    </xf>
    <xf numFmtId="0" fontId="7" fillId="0" borderId="37" xfId="0" applyFont="1" applyBorder="1" applyAlignment="1">
      <alignment horizontal="center" vertical="center" wrapText="1"/>
    </xf>
    <xf numFmtId="0" fontId="8" fillId="0" borderId="10" xfId="0" applyFont="1" applyBorder="1" applyAlignment="1">
      <alignment horizontal="center" vertical="center"/>
    </xf>
    <xf numFmtId="0" fontId="8" fillId="0" borderId="0" xfId="0" applyFont="1" applyAlignment="1">
      <alignment horizontal="center" vertical="center"/>
    </xf>
    <xf numFmtId="0" fontId="8" fillId="0" borderId="21" xfId="0" applyFont="1" applyBorder="1" applyAlignment="1">
      <alignment horizontal="center" vertical="center"/>
    </xf>
    <xf numFmtId="0" fontId="8" fillId="0" borderId="26" xfId="0" applyFont="1" applyBorder="1" applyAlignment="1">
      <alignment horizontal="center" vertical="center"/>
    </xf>
    <xf numFmtId="0" fontId="8" fillId="0" borderId="13" xfId="0" applyFont="1" applyBorder="1" applyAlignment="1">
      <alignment horizontal="center" vertical="center"/>
    </xf>
    <xf numFmtId="0" fontId="8" fillId="0" borderId="33" xfId="0" applyFont="1" applyBorder="1" applyAlignment="1">
      <alignment horizontal="center" vertical="center"/>
    </xf>
    <xf numFmtId="0" fontId="8" fillId="0" borderId="19" xfId="0" applyFont="1" applyBorder="1" applyAlignment="1">
      <alignment horizontal="center" vertical="center"/>
    </xf>
    <xf numFmtId="0" fontId="8" fillId="0" borderId="15" xfId="0" applyFont="1" applyBorder="1" applyAlignment="1">
      <alignment horizontal="center" vertical="center"/>
    </xf>
    <xf numFmtId="0" fontId="8" fillId="0" borderId="29" xfId="0" applyFont="1" applyBorder="1" applyAlignment="1">
      <alignment horizontal="center" vertical="center"/>
    </xf>
    <xf numFmtId="0" fontId="8" fillId="0" borderId="14" xfId="0" applyFont="1" applyBorder="1" applyAlignment="1">
      <alignment horizontal="center" vertical="center"/>
    </xf>
    <xf numFmtId="0" fontId="8" fillId="0" borderId="5" xfId="0" applyFont="1" applyBorder="1" applyAlignment="1">
      <alignment horizontal="center" vertical="center"/>
    </xf>
    <xf numFmtId="0" fontId="8" fillId="0" borderId="23" xfId="0" applyFont="1" applyBorder="1" applyAlignment="1">
      <alignment horizontal="center" vertical="center"/>
    </xf>
    <xf numFmtId="0" fontId="7" fillId="0" borderId="40" xfId="0" applyFont="1" applyBorder="1" applyAlignment="1">
      <alignment horizontal="center" vertical="center" wrapText="1"/>
    </xf>
    <xf numFmtId="0" fontId="8" fillId="0" borderId="35" xfId="0" applyFont="1" applyBorder="1" applyAlignment="1">
      <alignment horizontal="center" vertical="center"/>
    </xf>
    <xf numFmtId="0" fontId="8" fillId="0" borderId="17" xfId="0" applyFont="1" applyBorder="1" applyAlignment="1">
      <alignment horizontal="center" vertical="center"/>
    </xf>
    <xf numFmtId="0" fontId="8" fillId="0" borderId="34" xfId="0" applyFont="1" applyBorder="1" applyAlignment="1">
      <alignment horizontal="center" vertical="center"/>
    </xf>
    <xf numFmtId="0" fontId="8" fillId="0" borderId="18" xfId="0" applyFont="1" applyBorder="1" applyAlignment="1">
      <alignment horizontal="center" vertical="center"/>
    </xf>
    <xf numFmtId="10" fontId="8" fillId="0" borderId="0" xfId="0" applyNumberFormat="1" applyFont="1" applyAlignment="1">
      <alignment horizontal="center" vertical="center"/>
    </xf>
    <xf numFmtId="9" fontId="8" fillId="0" borderId="0" xfId="0" applyNumberFormat="1" applyFont="1" applyAlignment="1">
      <alignment horizontal="center" vertical="center"/>
    </xf>
    <xf numFmtId="0" fontId="11" fillId="0" borderId="26" xfId="0" applyFont="1" applyBorder="1" applyAlignment="1">
      <alignment horizontal="center" vertical="center" wrapText="1"/>
    </xf>
    <xf numFmtId="0" fontId="11" fillId="0" borderId="13" xfId="0" applyFont="1" applyBorder="1" applyAlignment="1">
      <alignment horizontal="center" vertical="center" wrapText="1"/>
    </xf>
    <xf numFmtId="0" fontId="11" fillId="0" borderId="14" xfId="0" applyFont="1" applyBorder="1" applyAlignment="1">
      <alignment horizontal="center" vertical="center" wrapText="1"/>
    </xf>
    <xf numFmtId="0" fontId="11" fillId="0" borderId="19" xfId="0" applyFont="1" applyBorder="1" applyAlignment="1">
      <alignment horizontal="center" vertical="center" wrapText="1"/>
    </xf>
    <xf numFmtId="0" fontId="11" fillId="0" borderId="15" xfId="0" applyFont="1" applyBorder="1" applyAlignment="1">
      <alignment horizontal="center" vertical="center" wrapText="1"/>
    </xf>
    <xf numFmtId="0" fontId="11" fillId="0" borderId="23" xfId="0" applyFont="1" applyBorder="1" applyAlignment="1">
      <alignment horizontal="center" vertical="center" wrapText="1"/>
    </xf>
    <xf numFmtId="9" fontId="8" fillId="0" borderId="15" xfId="0" applyNumberFormat="1" applyFont="1" applyBorder="1" applyAlignment="1">
      <alignment horizontal="center" vertical="center"/>
    </xf>
    <xf numFmtId="0" fontId="8" fillId="0" borderId="27" xfId="0" applyFont="1" applyBorder="1" applyAlignment="1">
      <alignment horizontal="center" vertical="center"/>
    </xf>
    <xf numFmtId="0" fontId="8" fillId="0" borderId="7" xfId="0" applyFont="1" applyBorder="1" applyAlignment="1">
      <alignment horizontal="center" vertical="center"/>
    </xf>
    <xf numFmtId="0" fontId="8" fillId="0" borderId="28" xfId="0" applyFont="1" applyBorder="1" applyAlignment="1">
      <alignment horizontal="center" vertical="center"/>
    </xf>
    <xf numFmtId="0" fontId="12" fillId="0" borderId="11" xfId="0" applyFont="1" applyBorder="1" applyAlignment="1">
      <alignment horizontal="center" vertical="center"/>
    </xf>
    <xf numFmtId="0" fontId="12" fillId="0" borderId="24" xfId="0" applyFont="1" applyBorder="1" applyAlignment="1">
      <alignment horizontal="center" vertical="center"/>
    </xf>
    <xf numFmtId="0" fontId="12" fillId="0" borderId="25" xfId="0" applyFont="1" applyBorder="1" applyAlignment="1">
      <alignment horizontal="center" vertical="center"/>
    </xf>
    <xf numFmtId="0" fontId="8" fillId="0" borderId="30" xfId="0" applyFont="1" applyBorder="1" applyAlignment="1">
      <alignment horizontal="center" vertical="center" wrapText="1"/>
    </xf>
    <xf numFmtId="0" fontId="8" fillId="0" borderId="31" xfId="0" applyFont="1" applyBorder="1" applyAlignment="1">
      <alignment horizontal="center" vertical="center" wrapText="1"/>
    </xf>
    <xf numFmtId="0" fontId="8" fillId="0" borderId="32" xfId="0" applyFont="1" applyBorder="1" applyAlignment="1">
      <alignment horizontal="center" vertical="center" wrapText="1"/>
    </xf>
    <xf numFmtId="0" fontId="8" fillId="0" borderId="35" xfId="0" applyFont="1" applyBorder="1" applyAlignment="1">
      <alignment horizontal="center" vertical="center" wrapText="1"/>
    </xf>
    <xf numFmtId="0" fontId="8" fillId="0" borderId="17" xfId="0" applyFont="1" applyBorder="1" applyAlignment="1">
      <alignment horizontal="center" vertical="center" wrapText="1"/>
    </xf>
    <xf numFmtId="0" fontId="8" fillId="0" borderId="34" xfId="0" applyFont="1" applyBorder="1" applyAlignment="1">
      <alignment horizontal="center" vertical="center" wrapText="1"/>
    </xf>
    <xf numFmtId="0" fontId="8" fillId="0" borderId="26" xfId="0" applyFont="1" applyBorder="1" applyAlignment="1">
      <alignment horizontal="center"/>
    </xf>
    <xf numFmtId="0" fontId="8" fillId="0" borderId="13" xfId="0" applyFont="1" applyBorder="1" applyAlignment="1">
      <alignment horizontal="center"/>
    </xf>
    <xf numFmtId="0" fontId="8" fillId="0" borderId="33" xfId="0" applyFont="1" applyBorder="1" applyAlignment="1">
      <alignment horizontal="center"/>
    </xf>
    <xf numFmtId="0" fontId="8" fillId="0" borderId="19" xfId="0" applyFont="1" applyBorder="1" applyAlignment="1">
      <alignment horizontal="center"/>
    </xf>
    <xf numFmtId="0" fontId="8" fillId="0" borderId="15" xfId="0" applyFont="1" applyBorder="1" applyAlignment="1">
      <alignment horizontal="center"/>
    </xf>
    <xf numFmtId="0" fontId="8" fillId="0" borderId="29" xfId="0" applyFont="1" applyBorder="1" applyAlignment="1">
      <alignment horizontal="center"/>
    </xf>
    <xf numFmtId="0" fontId="8" fillId="0" borderId="19" xfId="0" applyFont="1" applyBorder="1" applyAlignment="1">
      <alignment horizontal="center" vertical="center" wrapText="1"/>
    </xf>
    <xf numFmtId="0" fontId="8" fillId="0" borderId="15" xfId="0" applyFont="1" applyBorder="1" applyAlignment="1">
      <alignment horizontal="center" vertical="center" wrapText="1"/>
    </xf>
    <xf numFmtId="0" fontId="8" fillId="0" borderId="29" xfId="0" applyFont="1" applyBorder="1" applyAlignment="1">
      <alignment horizontal="center" vertical="center" wrapText="1"/>
    </xf>
    <xf numFmtId="0" fontId="8" fillId="0" borderId="18" xfId="0" applyFont="1" applyBorder="1" applyAlignment="1">
      <alignment horizontal="center" vertical="center" wrapText="1"/>
    </xf>
    <xf numFmtId="0" fontId="8" fillId="0" borderId="26" xfId="0" applyFont="1" applyBorder="1" applyAlignment="1">
      <alignment horizontal="center" wrapText="1"/>
    </xf>
    <xf numFmtId="0" fontId="8" fillId="0" borderId="13" xfId="0" applyFont="1" applyBorder="1" applyAlignment="1">
      <alignment horizontal="center" wrapText="1"/>
    </xf>
    <xf numFmtId="0" fontId="8" fillId="0" borderId="33" xfId="0" applyFont="1" applyBorder="1" applyAlignment="1">
      <alignment horizontal="center" wrapText="1"/>
    </xf>
    <xf numFmtId="0" fontId="8" fillId="0" borderId="19" xfId="0" applyFont="1" applyBorder="1" applyAlignment="1">
      <alignment horizontal="center" wrapText="1"/>
    </xf>
    <xf numFmtId="0" fontId="8" fillId="0" borderId="15" xfId="0" applyFont="1" applyBorder="1" applyAlignment="1">
      <alignment horizontal="center" wrapText="1"/>
    </xf>
    <xf numFmtId="0" fontId="8" fillId="0" borderId="29" xfId="0" applyFont="1" applyBorder="1" applyAlignment="1">
      <alignment horizontal="center" wrapText="1"/>
    </xf>
    <xf numFmtId="0" fontId="8" fillId="0" borderId="0" xfId="0" applyFont="1" applyAlignment="1">
      <alignment horizontal="center" vertical="center" wrapText="1"/>
    </xf>
    <xf numFmtId="0" fontId="8" fillId="0" borderId="21" xfId="0" applyFont="1" applyBorder="1" applyAlignment="1">
      <alignment horizontal="center" vertical="center" wrapText="1"/>
    </xf>
    <xf numFmtId="0" fontId="8" fillId="0" borderId="5" xfId="0" applyFont="1" applyBorder="1" applyAlignment="1">
      <alignment horizontal="center" vertical="center" wrapText="1"/>
    </xf>
    <xf numFmtId="0" fontId="8" fillId="0" borderId="23" xfId="0" applyFont="1" applyBorder="1" applyAlignment="1">
      <alignment horizontal="center" vertical="center" wrapText="1"/>
    </xf>
    <xf numFmtId="0" fontId="8" fillId="0" borderId="7" xfId="0" applyFont="1" applyBorder="1" applyAlignment="1">
      <alignment horizontal="center" vertical="center" wrapText="1"/>
    </xf>
    <xf numFmtId="0" fontId="8" fillId="0" borderId="28" xfId="0" applyFont="1" applyBorder="1" applyAlignment="1">
      <alignment horizontal="center" vertical="center" wrapText="1"/>
    </xf>
    <xf numFmtId="0" fontId="8" fillId="0" borderId="10" xfId="0" applyFont="1" applyBorder="1" applyAlignment="1">
      <alignment horizontal="center" vertical="center" wrapText="1"/>
    </xf>
  </cellXfs>
  <cellStyles count="8">
    <cellStyle name="Normal" xfId="0" builtinId="0"/>
    <cellStyle name="Normal 19" xfId="4" xr:uid="{49798164-DA9C-4728-942C-5364681584DF}"/>
    <cellStyle name="Normal 2 3" xfId="5" xr:uid="{4983CBF7-0114-47C6-8972-86A755361C73}"/>
    <cellStyle name="Normal 20" xfId="7" xr:uid="{7E96A676-DA9F-4DDF-80F5-93FAA06831A0}"/>
    <cellStyle name="Normal 3" xfId="2" xr:uid="{0F047AA1-14D2-4D8A-A8DB-F27E56C970CC}"/>
    <cellStyle name="Percent" xfId="1" builtinId="5"/>
    <cellStyle name="Percent 3" xfId="3" xr:uid="{E2F3B7A6-8BEB-4527-943C-5FF5B43BA1F1}"/>
    <cellStyle name="標準_JA対応の出納帳" xfId="6" xr:uid="{5BE4FD66-A2F4-4C0C-81DB-A02B3AABC4E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xdr:colOff>
      <xdr:row>2</xdr:row>
      <xdr:rowOff>35801</xdr:rowOff>
    </xdr:from>
    <xdr:ext cx="454269" cy="234462"/>
    <xdr:sp macro="" textlink="">
      <xdr:nvSpPr>
        <xdr:cNvPr id="2" name="Rectangle 229">
          <a:extLst>
            <a:ext uri="{FF2B5EF4-FFF2-40B4-BE49-F238E27FC236}">
              <a16:creationId xmlns:a16="http://schemas.microsoft.com/office/drawing/2014/main" id="{31BA76E2-7F80-4AD1-812D-A46EF6067789}"/>
            </a:ext>
          </a:extLst>
        </xdr:cNvPr>
        <xdr:cNvSpPr>
          <a:spLocks noChangeArrowheads="1"/>
        </xdr:cNvSpPr>
      </xdr:nvSpPr>
      <xdr:spPr bwMode="auto">
        <a:xfrm>
          <a:off x="19050" y="254876"/>
          <a:ext cx="454269" cy="234462"/>
        </a:xfrm>
        <a:prstGeom prst="rect">
          <a:avLst/>
        </a:prstGeom>
        <a:solidFill>
          <a:schemeClr val="bg1">
            <a:lumMod val="85000"/>
          </a:schemeClr>
        </a:solidFill>
        <a:ln>
          <a:noFill/>
        </a:ln>
      </xdr:spPr>
      <xdr:txBody>
        <a:bodyPr wrap="none" lIns="0" tIns="0" rIns="0" bIns="0" anchor="t" upright="1">
          <a:noAutofit/>
        </a:bodyPr>
        <a:lstStyle/>
        <a:p>
          <a:pPr algn="l" rtl="0">
            <a:defRPr sz="1000"/>
          </a:pPr>
          <a:r>
            <a:rPr lang="en-US" sz="800" b="0" i="0" u="none" strike="noStrike" baseline="0">
              <a:solidFill>
                <a:srgbClr val="000000"/>
              </a:solidFill>
              <a:latin typeface="Arial"/>
              <a:cs typeface="Arial"/>
            </a:rPr>
            <a:t> For BIR  </a:t>
          </a:r>
        </a:p>
        <a:p>
          <a:pPr algn="l" rtl="0">
            <a:defRPr sz="1000"/>
          </a:pPr>
          <a:r>
            <a:rPr lang="en-US" sz="800" b="0" i="0" u="none" strike="noStrike" baseline="0">
              <a:solidFill>
                <a:srgbClr val="000000"/>
              </a:solidFill>
              <a:latin typeface="Arial"/>
              <a:cs typeface="Arial"/>
            </a:rPr>
            <a:t> Use Only </a:t>
          </a:r>
        </a:p>
      </xdr:txBody>
    </xdr:sp>
    <xdr:clientData/>
  </xdr:oneCellAnchor>
  <xdr:oneCellAnchor>
    <xdr:from>
      <xdr:col>2</xdr:col>
      <xdr:colOff>111371</xdr:colOff>
      <xdr:row>2</xdr:row>
      <xdr:rowOff>35801</xdr:rowOff>
    </xdr:from>
    <xdr:ext cx="300404" cy="234462"/>
    <xdr:sp macro="" textlink="">
      <xdr:nvSpPr>
        <xdr:cNvPr id="3" name="Rectangle 229">
          <a:extLst>
            <a:ext uri="{FF2B5EF4-FFF2-40B4-BE49-F238E27FC236}">
              <a16:creationId xmlns:a16="http://schemas.microsoft.com/office/drawing/2014/main" id="{062B8C49-7419-4FE3-96B7-20C1F9F8D0DE}"/>
            </a:ext>
          </a:extLst>
        </xdr:cNvPr>
        <xdr:cNvSpPr>
          <a:spLocks noChangeArrowheads="1"/>
        </xdr:cNvSpPr>
      </xdr:nvSpPr>
      <xdr:spPr bwMode="auto">
        <a:xfrm>
          <a:off x="473321" y="254876"/>
          <a:ext cx="300404" cy="234462"/>
        </a:xfrm>
        <a:prstGeom prst="rect">
          <a:avLst/>
        </a:prstGeom>
        <a:noFill/>
        <a:ln>
          <a:noFill/>
        </a:ln>
      </xdr:spPr>
      <xdr:txBody>
        <a:bodyPr wrap="none" lIns="0" tIns="0" rIns="0" bIns="0" anchor="t" upright="1">
          <a:noAutofit/>
        </a:bodyPr>
        <a:lstStyle/>
        <a:p>
          <a:pPr algn="l" rtl="0">
            <a:defRPr sz="1000"/>
          </a:pPr>
          <a:r>
            <a:rPr lang="en-US" sz="800" b="0" i="0" u="none" strike="noStrike" baseline="0">
              <a:solidFill>
                <a:srgbClr val="000000"/>
              </a:solidFill>
              <a:latin typeface="Arial"/>
              <a:cs typeface="Arial"/>
            </a:rPr>
            <a:t> BCS/</a:t>
          </a:r>
        </a:p>
        <a:p>
          <a:pPr algn="l" rtl="0">
            <a:defRPr sz="1000"/>
          </a:pPr>
          <a:r>
            <a:rPr lang="en-US" sz="800" b="0" i="0" u="none" strike="noStrike" baseline="0">
              <a:solidFill>
                <a:srgbClr val="000000"/>
              </a:solidFill>
              <a:latin typeface="Arial"/>
              <a:cs typeface="Arial"/>
            </a:rPr>
            <a:t> Item: </a:t>
          </a:r>
        </a:p>
      </xdr:txBody>
    </xdr:sp>
    <xdr:clientData/>
  </xdr:oneCellAnchor>
  <xdr:twoCellAnchor editAs="oneCell">
    <xdr:from>
      <xdr:col>13</xdr:col>
      <xdr:colOff>68396</xdr:colOff>
      <xdr:row>0</xdr:row>
      <xdr:rowOff>26724</xdr:rowOff>
    </xdr:from>
    <xdr:to>
      <xdr:col>16</xdr:col>
      <xdr:colOff>39821</xdr:colOff>
      <xdr:row>3</xdr:row>
      <xdr:rowOff>114300</xdr:rowOff>
    </xdr:to>
    <xdr:pic>
      <xdr:nvPicPr>
        <xdr:cNvPr id="4" name="Picture 232">
          <a:extLst>
            <a:ext uri="{FF2B5EF4-FFF2-40B4-BE49-F238E27FC236}">
              <a16:creationId xmlns:a16="http://schemas.microsoft.com/office/drawing/2014/main" id="{45D9D99F-C8C4-45AC-A593-088DEE908FB5}"/>
            </a:ext>
          </a:extLst>
        </xdr:cNvPr>
        <xdr:cNvPicPr>
          <a:picLocks noChangeAspect="1" noChangeArrowheads="1"/>
        </xdr:cNvPicPr>
      </xdr:nvPicPr>
      <xdr:blipFill>
        <a:blip xmlns:r="http://schemas.openxmlformats.org/officeDocument/2006/relationships" r:embed="rId1" cstate="print">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1071" y="26724"/>
          <a:ext cx="514350" cy="44952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77276</xdr:colOff>
      <xdr:row>4</xdr:row>
      <xdr:rowOff>12370</xdr:rowOff>
    </xdr:from>
    <xdr:to>
      <xdr:col>6</xdr:col>
      <xdr:colOff>180710</xdr:colOff>
      <xdr:row>8</xdr:row>
      <xdr:rowOff>109021</xdr:rowOff>
    </xdr:to>
    <xdr:grpSp>
      <xdr:nvGrpSpPr>
        <xdr:cNvPr id="5" name="Group 4">
          <a:extLst>
            <a:ext uri="{FF2B5EF4-FFF2-40B4-BE49-F238E27FC236}">
              <a16:creationId xmlns:a16="http://schemas.microsoft.com/office/drawing/2014/main" id="{A75025CD-211B-4615-9233-AD6BF113A342}"/>
            </a:ext>
          </a:extLst>
        </xdr:cNvPr>
        <xdr:cNvGrpSpPr/>
      </xdr:nvGrpSpPr>
      <xdr:grpSpPr>
        <a:xfrm>
          <a:off x="77276" y="529955"/>
          <a:ext cx="1181736" cy="585481"/>
          <a:chOff x="7327" y="521368"/>
          <a:chExt cx="1179635" cy="669862"/>
        </a:xfrm>
      </xdr:grpSpPr>
      <xdr:sp macro="" textlink="">
        <xdr:nvSpPr>
          <xdr:cNvPr id="6" name="Rectangle 234">
            <a:extLst>
              <a:ext uri="{FF2B5EF4-FFF2-40B4-BE49-F238E27FC236}">
                <a16:creationId xmlns:a16="http://schemas.microsoft.com/office/drawing/2014/main" id="{59E92EF7-07AB-5567-4DF6-20EB14B72D1C}"/>
              </a:ext>
            </a:extLst>
          </xdr:cNvPr>
          <xdr:cNvSpPr>
            <a:spLocks noChangeArrowheads="1"/>
          </xdr:cNvSpPr>
        </xdr:nvSpPr>
        <xdr:spPr bwMode="auto">
          <a:xfrm>
            <a:off x="86612" y="635773"/>
            <a:ext cx="815465" cy="43096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upright="1">
            <a:spAutoFit/>
          </a:bodyPr>
          <a:lstStyle/>
          <a:p>
            <a:pPr algn="l" rtl="0">
              <a:defRPr sz="1000"/>
            </a:pPr>
            <a:r>
              <a:rPr lang="en-US" sz="2600" b="1" i="0" u="none" strike="noStrike" baseline="0">
                <a:solidFill>
                  <a:srgbClr val="000000"/>
                </a:solidFill>
                <a:latin typeface="Arial"/>
                <a:cs typeface="Arial"/>
              </a:rPr>
              <a:t> 2307</a:t>
            </a:r>
          </a:p>
        </xdr:txBody>
      </xdr:sp>
      <xdr:sp macro="" textlink="">
        <xdr:nvSpPr>
          <xdr:cNvPr id="7" name="Text Box 241">
            <a:extLst>
              <a:ext uri="{FF2B5EF4-FFF2-40B4-BE49-F238E27FC236}">
                <a16:creationId xmlns:a16="http://schemas.microsoft.com/office/drawing/2014/main" id="{7BBF0B11-E334-5280-8D65-0C697D63C340}"/>
              </a:ext>
            </a:extLst>
          </xdr:cNvPr>
          <xdr:cNvSpPr txBox="1">
            <a:spLocks noChangeArrowheads="1"/>
          </xdr:cNvSpPr>
        </xdr:nvSpPr>
        <xdr:spPr bwMode="auto">
          <a:xfrm>
            <a:off x="7327" y="1003826"/>
            <a:ext cx="1179635" cy="18740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22860" rIns="0" bIns="0" anchor="t" upright="1"/>
          <a:lstStyle/>
          <a:p>
            <a:pPr algn="l" rtl="0">
              <a:defRPr sz="1000"/>
            </a:pPr>
            <a:r>
              <a:rPr lang="en-US" sz="800" b="0" i="0" u="none" strike="noStrike" baseline="0">
                <a:solidFill>
                  <a:srgbClr val="000000"/>
                </a:solidFill>
                <a:latin typeface="Arial"/>
                <a:cs typeface="Arial"/>
              </a:rPr>
              <a:t>January 2018 (ENCS)</a:t>
            </a:r>
          </a:p>
        </xdr:txBody>
      </xdr:sp>
      <xdr:sp macro="" textlink="">
        <xdr:nvSpPr>
          <xdr:cNvPr id="8" name="Text Box 242">
            <a:extLst>
              <a:ext uri="{FF2B5EF4-FFF2-40B4-BE49-F238E27FC236}">
                <a16:creationId xmlns:a16="http://schemas.microsoft.com/office/drawing/2014/main" id="{0A2A8633-40FC-5D95-72FF-C69C6AA0E8BD}"/>
              </a:ext>
            </a:extLst>
          </xdr:cNvPr>
          <xdr:cNvSpPr txBox="1">
            <a:spLocks noChangeArrowheads="1"/>
          </xdr:cNvSpPr>
        </xdr:nvSpPr>
        <xdr:spPr bwMode="auto">
          <a:xfrm>
            <a:off x="165593" y="521368"/>
            <a:ext cx="823543" cy="14800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22860" rIns="0" bIns="0" anchor="t" upright="1"/>
          <a:lstStyle/>
          <a:p>
            <a:pPr algn="l" rtl="0">
              <a:defRPr sz="1000"/>
            </a:pPr>
            <a:r>
              <a:rPr lang="en-US" sz="800" b="0" i="0" u="none" strike="noStrike" baseline="0">
                <a:solidFill>
                  <a:srgbClr val="000000"/>
                </a:solidFill>
                <a:latin typeface="Arial"/>
                <a:cs typeface="Arial"/>
              </a:rPr>
              <a:t> BIR Form No.</a:t>
            </a:r>
          </a:p>
        </xdr:txBody>
      </xdr:sp>
    </xdr:grpSp>
    <xdr:clientData/>
  </xdr:twoCellAnchor>
  <xdr:twoCellAnchor>
    <xdr:from>
      <xdr:col>34</xdr:col>
      <xdr:colOff>160811</xdr:colOff>
      <xdr:row>7</xdr:row>
      <xdr:rowOff>74222</xdr:rowOff>
    </xdr:from>
    <xdr:to>
      <xdr:col>41</xdr:col>
      <xdr:colOff>145695</xdr:colOff>
      <xdr:row>9</xdr:row>
      <xdr:rowOff>35300</xdr:rowOff>
    </xdr:to>
    <xdr:sp macro="" textlink="">
      <xdr:nvSpPr>
        <xdr:cNvPr id="9" name="Text Box 2">
          <a:extLst>
            <a:ext uri="{FF2B5EF4-FFF2-40B4-BE49-F238E27FC236}">
              <a16:creationId xmlns:a16="http://schemas.microsoft.com/office/drawing/2014/main" id="{A77B0314-3F24-4F89-8B8A-9DCA1857FD1A}"/>
            </a:ext>
          </a:extLst>
        </xdr:cNvPr>
        <xdr:cNvSpPr txBox="1">
          <a:spLocks noChangeArrowheads="1"/>
        </xdr:cNvSpPr>
      </xdr:nvSpPr>
      <xdr:spPr bwMode="auto">
        <a:xfrm>
          <a:off x="6342536" y="979097"/>
          <a:ext cx="1127884" cy="208728"/>
        </a:xfrm>
        <a:prstGeom prst="rect">
          <a:avLst/>
        </a:prstGeom>
        <a:noFill/>
        <a:ln w="9525">
          <a:noFill/>
          <a:miter lim="800000"/>
          <a:headEnd/>
          <a:tailEnd/>
        </a:ln>
      </xdr:spPr>
      <xdr:txBody>
        <a:bodyPr rot="0" vert="horz" wrap="square" lIns="91440" tIns="45720" rIns="91440" bIns="45720" anchor="t" anchorCtr="0">
          <a:spAutoFit/>
        </a:bodyPr>
        <a:lstStyle/>
        <a:p>
          <a:pPr marL="0" marR="0">
            <a:spcBef>
              <a:spcPts val="0"/>
            </a:spcBef>
            <a:spcAft>
              <a:spcPts val="0"/>
            </a:spcAft>
          </a:pPr>
          <a:r>
            <a:rPr lang="en-US" sz="800">
              <a:effectLst/>
              <a:latin typeface="Arial" panose="020B0604020202020204" pitchFamily="34" charset="0"/>
              <a:ea typeface="Times New Roman" panose="02020603050405020304" pitchFamily="18" charset="0"/>
            </a:rPr>
            <a:t>2307 01/18ENCS</a:t>
          </a: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1</xdr:col>
      <xdr:colOff>7226</xdr:colOff>
      <xdr:row>27</xdr:row>
      <xdr:rowOff>9525</xdr:rowOff>
    </xdr:from>
    <xdr:to>
      <xdr:col>40</xdr:col>
      <xdr:colOff>19050</xdr:colOff>
      <xdr:row>28</xdr:row>
      <xdr:rowOff>104775</xdr:rowOff>
    </xdr:to>
    <xdr:sp macro="" textlink="">
      <xdr:nvSpPr>
        <xdr:cNvPr id="10" name="Text Box 2">
          <a:extLst>
            <a:ext uri="{FF2B5EF4-FFF2-40B4-BE49-F238E27FC236}">
              <a16:creationId xmlns:a16="http://schemas.microsoft.com/office/drawing/2014/main" id="{933FADA6-36AE-40AE-B3B0-AE728D4155BD}"/>
            </a:ext>
          </a:extLst>
        </xdr:cNvPr>
        <xdr:cNvSpPr txBox="1">
          <a:spLocks noChangeArrowheads="1"/>
        </xdr:cNvSpPr>
      </xdr:nvSpPr>
      <xdr:spPr bwMode="auto">
        <a:xfrm>
          <a:off x="188201" y="2971800"/>
          <a:ext cx="7098424" cy="228600"/>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32</xdr:col>
      <xdr:colOff>77702</xdr:colOff>
      <xdr:row>71</xdr:row>
      <xdr:rowOff>34648</xdr:rowOff>
    </xdr:from>
    <xdr:to>
      <xdr:col>41</xdr:col>
      <xdr:colOff>940</xdr:colOff>
      <xdr:row>72</xdr:row>
      <xdr:rowOff>116103</xdr:rowOff>
    </xdr:to>
    <xdr:grpSp>
      <xdr:nvGrpSpPr>
        <xdr:cNvPr id="11" name="Group 10">
          <a:extLst>
            <a:ext uri="{FF2B5EF4-FFF2-40B4-BE49-F238E27FC236}">
              <a16:creationId xmlns:a16="http://schemas.microsoft.com/office/drawing/2014/main" id="{C9011FC1-BB60-4365-AC5F-0B5D83FA9947}"/>
            </a:ext>
          </a:extLst>
        </xdr:cNvPr>
        <xdr:cNvGrpSpPr/>
      </xdr:nvGrpSpPr>
      <xdr:grpSpPr>
        <a:xfrm>
          <a:off x="5864589" y="9696233"/>
          <a:ext cx="1418483" cy="218040"/>
          <a:chOff x="198045" y="3663821"/>
          <a:chExt cx="1310870" cy="227822"/>
        </a:xfrm>
      </xdr:grpSpPr>
      <xdr:grpSp>
        <xdr:nvGrpSpPr>
          <xdr:cNvPr id="12" name="Group 11">
            <a:extLst>
              <a:ext uri="{FF2B5EF4-FFF2-40B4-BE49-F238E27FC236}">
                <a16:creationId xmlns:a16="http://schemas.microsoft.com/office/drawing/2014/main" id="{10AF1384-C903-DD78-D9C7-EE95BB50AF61}"/>
              </a:ext>
            </a:extLst>
          </xdr:cNvPr>
          <xdr:cNvGrpSpPr/>
        </xdr:nvGrpSpPr>
        <xdr:grpSpPr>
          <a:xfrm>
            <a:off x="198045" y="3663821"/>
            <a:ext cx="655434" cy="227822"/>
            <a:chOff x="1509155" y="1738004"/>
            <a:chExt cx="909204" cy="228600"/>
          </a:xfrm>
          <a:solidFill>
            <a:sysClr val="window" lastClr="FFFFFF"/>
          </a:solidFill>
        </xdr:grpSpPr>
        <xdr:sp macro="" textlink="">
          <xdr:nvSpPr>
            <xdr:cNvPr id="18" name="Text Box 2">
              <a:extLst>
                <a:ext uri="{FF2B5EF4-FFF2-40B4-BE49-F238E27FC236}">
                  <a16:creationId xmlns:a16="http://schemas.microsoft.com/office/drawing/2014/main" id="{FED7AC53-7825-FCA1-1DF1-C944A5E6CCC8}"/>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19" name="Straight Connector 18">
              <a:extLst>
                <a:ext uri="{FF2B5EF4-FFF2-40B4-BE49-F238E27FC236}">
                  <a16:creationId xmlns:a16="http://schemas.microsoft.com/office/drawing/2014/main" id="{CCA7AB31-3D62-0813-B0F4-D3F451EC6489}"/>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0" name="Straight Connector 19">
              <a:extLst>
                <a:ext uri="{FF2B5EF4-FFF2-40B4-BE49-F238E27FC236}">
                  <a16:creationId xmlns:a16="http://schemas.microsoft.com/office/drawing/2014/main" id="{A1CCFDB2-1C1F-0D3D-B2CB-2D1012FEC77C}"/>
                </a:ext>
              </a:extLst>
            </xdr:cNvPr>
            <xdr:cNvCxnSpPr>
              <a:stCxn id="18"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1" name="Straight Connector 20">
              <a:extLst>
                <a:ext uri="{FF2B5EF4-FFF2-40B4-BE49-F238E27FC236}">
                  <a16:creationId xmlns:a16="http://schemas.microsoft.com/office/drawing/2014/main" id="{4703B9FC-A619-45BB-F7ED-9BDEFFAFBE39}"/>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13" name="Group 12">
            <a:extLst>
              <a:ext uri="{FF2B5EF4-FFF2-40B4-BE49-F238E27FC236}">
                <a16:creationId xmlns:a16="http://schemas.microsoft.com/office/drawing/2014/main" id="{1199387B-AA78-2504-91ED-C91404FA6823}"/>
              </a:ext>
            </a:extLst>
          </xdr:cNvPr>
          <xdr:cNvGrpSpPr/>
        </xdr:nvGrpSpPr>
        <xdr:grpSpPr>
          <a:xfrm>
            <a:off x="853481" y="3663821"/>
            <a:ext cx="655434" cy="227822"/>
            <a:chOff x="1509155" y="1738004"/>
            <a:chExt cx="909204" cy="228600"/>
          </a:xfrm>
          <a:solidFill>
            <a:sysClr val="window" lastClr="FFFFFF"/>
          </a:solidFill>
        </xdr:grpSpPr>
        <xdr:sp macro="" textlink="">
          <xdr:nvSpPr>
            <xdr:cNvPr id="14" name="Text Box 2">
              <a:extLst>
                <a:ext uri="{FF2B5EF4-FFF2-40B4-BE49-F238E27FC236}">
                  <a16:creationId xmlns:a16="http://schemas.microsoft.com/office/drawing/2014/main" id="{913335CC-25AD-4C62-1110-5FC6215AD549}"/>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15" name="Straight Connector 14">
              <a:extLst>
                <a:ext uri="{FF2B5EF4-FFF2-40B4-BE49-F238E27FC236}">
                  <a16:creationId xmlns:a16="http://schemas.microsoft.com/office/drawing/2014/main" id="{3219F825-0C15-8B08-DA39-435FC74C7C3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6" name="Straight Connector 15">
              <a:extLst>
                <a:ext uri="{FF2B5EF4-FFF2-40B4-BE49-F238E27FC236}">
                  <a16:creationId xmlns:a16="http://schemas.microsoft.com/office/drawing/2014/main" id="{9B48E156-1F29-4C5A-CB58-CA5E6EBB0F90}"/>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7" name="Straight Connector 16">
              <a:extLst>
                <a:ext uri="{FF2B5EF4-FFF2-40B4-BE49-F238E27FC236}">
                  <a16:creationId xmlns:a16="http://schemas.microsoft.com/office/drawing/2014/main" id="{6D96FCF4-DAA7-8E86-7AB1-1D4F9A214765}"/>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20</xdr:col>
      <xdr:colOff>109607</xdr:colOff>
      <xdr:row>71</xdr:row>
      <xdr:rowOff>34645</xdr:rowOff>
    </xdr:from>
    <xdr:to>
      <xdr:col>27</xdr:col>
      <xdr:colOff>161878</xdr:colOff>
      <xdr:row>72</xdr:row>
      <xdr:rowOff>116101</xdr:rowOff>
    </xdr:to>
    <xdr:grpSp>
      <xdr:nvGrpSpPr>
        <xdr:cNvPr id="22" name="Group 21">
          <a:extLst>
            <a:ext uri="{FF2B5EF4-FFF2-40B4-BE49-F238E27FC236}">
              <a16:creationId xmlns:a16="http://schemas.microsoft.com/office/drawing/2014/main" id="{31FA8FD8-77F8-458C-BE16-0F14C6D5F498}"/>
            </a:ext>
          </a:extLst>
        </xdr:cNvPr>
        <xdr:cNvGrpSpPr/>
      </xdr:nvGrpSpPr>
      <xdr:grpSpPr>
        <a:xfrm>
          <a:off x="3739890" y="9696230"/>
          <a:ext cx="1310290" cy="218041"/>
          <a:chOff x="198045" y="3663821"/>
          <a:chExt cx="1310870" cy="227822"/>
        </a:xfrm>
      </xdr:grpSpPr>
      <xdr:grpSp>
        <xdr:nvGrpSpPr>
          <xdr:cNvPr id="23" name="Group 22">
            <a:extLst>
              <a:ext uri="{FF2B5EF4-FFF2-40B4-BE49-F238E27FC236}">
                <a16:creationId xmlns:a16="http://schemas.microsoft.com/office/drawing/2014/main" id="{BF291703-8C4F-1C1A-13AD-9DBDF3BCD56A}"/>
              </a:ext>
            </a:extLst>
          </xdr:cNvPr>
          <xdr:cNvGrpSpPr/>
        </xdr:nvGrpSpPr>
        <xdr:grpSpPr>
          <a:xfrm>
            <a:off x="198045" y="3663821"/>
            <a:ext cx="655434" cy="227822"/>
            <a:chOff x="1509155" y="1738004"/>
            <a:chExt cx="909204" cy="228600"/>
          </a:xfrm>
          <a:solidFill>
            <a:sysClr val="window" lastClr="FFFFFF"/>
          </a:solidFill>
        </xdr:grpSpPr>
        <xdr:sp macro="" textlink="">
          <xdr:nvSpPr>
            <xdr:cNvPr id="29" name="Text Box 2">
              <a:extLst>
                <a:ext uri="{FF2B5EF4-FFF2-40B4-BE49-F238E27FC236}">
                  <a16:creationId xmlns:a16="http://schemas.microsoft.com/office/drawing/2014/main" id="{96D00A9B-7F58-E50F-E673-FED285DF5768}"/>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30" name="Straight Connector 29">
              <a:extLst>
                <a:ext uri="{FF2B5EF4-FFF2-40B4-BE49-F238E27FC236}">
                  <a16:creationId xmlns:a16="http://schemas.microsoft.com/office/drawing/2014/main" id="{4766E21D-D522-15A0-C305-85CE0BB9E187}"/>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1" name="Straight Connector 30">
              <a:extLst>
                <a:ext uri="{FF2B5EF4-FFF2-40B4-BE49-F238E27FC236}">
                  <a16:creationId xmlns:a16="http://schemas.microsoft.com/office/drawing/2014/main" id="{64482062-1E15-4E4D-CE90-6D883E07B157}"/>
                </a:ext>
              </a:extLst>
            </xdr:cNvPr>
            <xdr:cNvCxnSpPr>
              <a:stCxn id="29"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2" name="Straight Connector 31">
              <a:extLst>
                <a:ext uri="{FF2B5EF4-FFF2-40B4-BE49-F238E27FC236}">
                  <a16:creationId xmlns:a16="http://schemas.microsoft.com/office/drawing/2014/main" id="{9F5AE66F-95FF-EB84-DE3E-5DFA6E5200DC}"/>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24" name="Group 23">
            <a:extLst>
              <a:ext uri="{FF2B5EF4-FFF2-40B4-BE49-F238E27FC236}">
                <a16:creationId xmlns:a16="http://schemas.microsoft.com/office/drawing/2014/main" id="{0220149A-6EE1-C7FB-8F43-87E0AE1AD6FF}"/>
              </a:ext>
            </a:extLst>
          </xdr:cNvPr>
          <xdr:cNvGrpSpPr/>
        </xdr:nvGrpSpPr>
        <xdr:grpSpPr>
          <a:xfrm>
            <a:off x="853481" y="3663821"/>
            <a:ext cx="655434" cy="227822"/>
            <a:chOff x="1509155" y="1738004"/>
            <a:chExt cx="909204" cy="228600"/>
          </a:xfrm>
          <a:solidFill>
            <a:sysClr val="window" lastClr="FFFFFF"/>
          </a:solidFill>
        </xdr:grpSpPr>
        <xdr:sp macro="" textlink="">
          <xdr:nvSpPr>
            <xdr:cNvPr id="25" name="Text Box 2">
              <a:extLst>
                <a:ext uri="{FF2B5EF4-FFF2-40B4-BE49-F238E27FC236}">
                  <a16:creationId xmlns:a16="http://schemas.microsoft.com/office/drawing/2014/main" id="{ABBDF22F-0547-34FF-C408-ADC909B47579}"/>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26" name="Straight Connector 25">
              <a:extLst>
                <a:ext uri="{FF2B5EF4-FFF2-40B4-BE49-F238E27FC236}">
                  <a16:creationId xmlns:a16="http://schemas.microsoft.com/office/drawing/2014/main" id="{6466D860-5123-74E0-F232-E5434197BC36}"/>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7" name="Straight Connector 26">
              <a:extLst>
                <a:ext uri="{FF2B5EF4-FFF2-40B4-BE49-F238E27FC236}">
                  <a16:creationId xmlns:a16="http://schemas.microsoft.com/office/drawing/2014/main" id="{11DE1262-7E10-0B98-9BFA-A41D4B923B37}"/>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8" name="Straight Connector 27">
              <a:extLst>
                <a:ext uri="{FF2B5EF4-FFF2-40B4-BE49-F238E27FC236}">
                  <a16:creationId xmlns:a16="http://schemas.microsoft.com/office/drawing/2014/main" id="{8C93750B-0F9D-6921-0336-FDB27FFC4615}"/>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8</xdr:col>
      <xdr:colOff>25260</xdr:colOff>
      <xdr:row>71</xdr:row>
      <xdr:rowOff>34646</xdr:rowOff>
    </xdr:from>
    <xdr:to>
      <xdr:col>16</xdr:col>
      <xdr:colOff>118458</xdr:colOff>
      <xdr:row>72</xdr:row>
      <xdr:rowOff>118347</xdr:rowOff>
    </xdr:to>
    <xdr:sp macro="" textlink="">
      <xdr:nvSpPr>
        <xdr:cNvPr id="33" name="Text Box 2">
          <a:extLst>
            <a:ext uri="{FF2B5EF4-FFF2-40B4-BE49-F238E27FC236}">
              <a16:creationId xmlns:a16="http://schemas.microsoft.com/office/drawing/2014/main" id="{BFCB4166-5511-46F1-98D0-11BC42B5D5C4}"/>
            </a:ext>
          </a:extLst>
        </xdr:cNvPr>
        <xdr:cNvSpPr txBox="1">
          <a:spLocks noChangeArrowheads="1"/>
        </xdr:cNvSpPr>
      </xdr:nvSpPr>
      <xdr:spPr bwMode="auto">
        <a:xfrm>
          <a:off x="1473060" y="9721571"/>
          <a:ext cx="1540998" cy="226576"/>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32</xdr:col>
      <xdr:colOff>78828</xdr:colOff>
      <xdr:row>79</xdr:row>
      <xdr:rowOff>34646</xdr:rowOff>
    </xdr:from>
    <xdr:to>
      <xdr:col>41</xdr:col>
      <xdr:colOff>2066</xdr:colOff>
      <xdr:row>80</xdr:row>
      <xdr:rowOff>116103</xdr:rowOff>
    </xdr:to>
    <xdr:grpSp>
      <xdr:nvGrpSpPr>
        <xdr:cNvPr id="34" name="Group 33">
          <a:extLst>
            <a:ext uri="{FF2B5EF4-FFF2-40B4-BE49-F238E27FC236}">
              <a16:creationId xmlns:a16="http://schemas.microsoft.com/office/drawing/2014/main" id="{63F16F8A-826D-40A3-8030-277949F56A6B}"/>
            </a:ext>
          </a:extLst>
        </xdr:cNvPr>
        <xdr:cNvGrpSpPr/>
      </xdr:nvGrpSpPr>
      <xdr:grpSpPr>
        <a:xfrm>
          <a:off x="5865715" y="10745778"/>
          <a:ext cx="1418483" cy="218042"/>
          <a:chOff x="198045" y="3663821"/>
          <a:chExt cx="1310870" cy="227822"/>
        </a:xfrm>
      </xdr:grpSpPr>
      <xdr:grpSp>
        <xdr:nvGrpSpPr>
          <xdr:cNvPr id="35" name="Group 34">
            <a:extLst>
              <a:ext uri="{FF2B5EF4-FFF2-40B4-BE49-F238E27FC236}">
                <a16:creationId xmlns:a16="http://schemas.microsoft.com/office/drawing/2014/main" id="{DB373BC2-2E32-79B1-99B9-77F062C64979}"/>
              </a:ext>
            </a:extLst>
          </xdr:cNvPr>
          <xdr:cNvGrpSpPr/>
        </xdr:nvGrpSpPr>
        <xdr:grpSpPr>
          <a:xfrm>
            <a:off x="198045" y="3663821"/>
            <a:ext cx="655434" cy="227822"/>
            <a:chOff x="1509155" y="1738004"/>
            <a:chExt cx="909204" cy="228600"/>
          </a:xfrm>
          <a:solidFill>
            <a:sysClr val="window" lastClr="FFFFFF"/>
          </a:solidFill>
        </xdr:grpSpPr>
        <xdr:sp macro="" textlink="">
          <xdr:nvSpPr>
            <xdr:cNvPr id="41" name="Text Box 2">
              <a:extLst>
                <a:ext uri="{FF2B5EF4-FFF2-40B4-BE49-F238E27FC236}">
                  <a16:creationId xmlns:a16="http://schemas.microsoft.com/office/drawing/2014/main" id="{7AA856E2-CE36-8571-8728-47AD921FC959}"/>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2" name="Straight Connector 41">
              <a:extLst>
                <a:ext uri="{FF2B5EF4-FFF2-40B4-BE49-F238E27FC236}">
                  <a16:creationId xmlns:a16="http://schemas.microsoft.com/office/drawing/2014/main" id="{00C2500D-3DA8-B964-BB21-058324C54F64}"/>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3" name="Straight Connector 42">
              <a:extLst>
                <a:ext uri="{FF2B5EF4-FFF2-40B4-BE49-F238E27FC236}">
                  <a16:creationId xmlns:a16="http://schemas.microsoft.com/office/drawing/2014/main" id="{68A0BD73-141A-ABF6-CC3C-1BFB64F6A046}"/>
                </a:ext>
              </a:extLst>
            </xdr:cNvPr>
            <xdr:cNvCxnSpPr>
              <a:stCxn id="41"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4" name="Straight Connector 43">
              <a:extLst>
                <a:ext uri="{FF2B5EF4-FFF2-40B4-BE49-F238E27FC236}">
                  <a16:creationId xmlns:a16="http://schemas.microsoft.com/office/drawing/2014/main" id="{4459E429-EFCC-2545-E023-92A5C53F80EB}"/>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36" name="Group 35">
            <a:extLst>
              <a:ext uri="{FF2B5EF4-FFF2-40B4-BE49-F238E27FC236}">
                <a16:creationId xmlns:a16="http://schemas.microsoft.com/office/drawing/2014/main" id="{E6AE7687-BC4B-7ED9-5B9A-28DD79B4F84C}"/>
              </a:ext>
            </a:extLst>
          </xdr:cNvPr>
          <xdr:cNvGrpSpPr/>
        </xdr:nvGrpSpPr>
        <xdr:grpSpPr>
          <a:xfrm>
            <a:off x="853481" y="3663821"/>
            <a:ext cx="655434" cy="227822"/>
            <a:chOff x="1509155" y="1738004"/>
            <a:chExt cx="909204" cy="228600"/>
          </a:xfrm>
          <a:solidFill>
            <a:sysClr val="window" lastClr="FFFFFF"/>
          </a:solidFill>
        </xdr:grpSpPr>
        <xdr:sp macro="" textlink="">
          <xdr:nvSpPr>
            <xdr:cNvPr id="37" name="Text Box 2">
              <a:extLst>
                <a:ext uri="{FF2B5EF4-FFF2-40B4-BE49-F238E27FC236}">
                  <a16:creationId xmlns:a16="http://schemas.microsoft.com/office/drawing/2014/main" id="{37B41D40-7DF2-96CB-14D7-4BFE7276E5D8}"/>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38" name="Straight Connector 37">
              <a:extLst>
                <a:ext uri="{FF2B5EF4-FFF2-40B4-BE49-F238E27FC236}">
                  <a16:creationId xmlns:a16="http://schemas.microsoft.com/office/drawing/2014/main" id="{1340B30A-C4A6-CAA0-BFF2-275DFB6F36AA}"/>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9" name="Straight Connector 38">
              <a:extLst>
                <a:ext uri="{FF2B5EF4-FFF2-40B4-BE49-F238E27FC236}">
                  <a16:creationId xmlns:a16="http://schemas.microsoft.com/office/drawing/2014/main" id="{1E57D3E4-53FF-E2FA-F724-21AA065E11F0}"/>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0" name="Straight Connector 39">
              <a:extLst>
                <a:ext uri="{FF2B5EF4-FFF2-40B4-BE49-F238E27FC236}">
                  <a16:creationId xmlns:a16="http://schemas.microsoft.com/office/drawing/2014/main" id="{09E47EEB-EB5E-301B-A3CE-E5CF4C057D66}"/>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20</xdr:col>
      <xdr:colOff>110733</xdr:colOff>
      <xdr:row>79</xdr:row>
      <xdr:rowOff>34645</xdr:rowOff>
    </xdr:from>
    <xdr:to>
      <xdr:col>27</xdr:col>
      <xdr:colOff>163004</xdr:colOff>
      <xdr:row>80</xdr:row>
      <xdr:rowOff>116102</xdr:rowOff>
    </xdr:to>
    <xdr:grpSp>
      <xdr:nvGrpSpPr>
        <xdr:cNvPr id="45" name="Group 44">
          <a:extLst>
            <a:ext uri="{FF2B5EF4-FFF2-40B4-BE49-F238E27FC236}">
              <a16:creationId xmlns:a16="http://schemas.microsoft.com/office/drawing/2014/main" id="{9799B710-4075-41D9-8F0C-F69AAC9029EE}"/>
            </a:ext>
          </a:extLst>
        </xdr:cNvPr>
        <xdr:cNvGrpSpPr/>
      </xdr:nvGrpSpPr>
      <xdr:grpSpPr>
        <a:xfrm>
          <a:off x="3741016" y="10745777"/>
          <a:ext cx="1310290" cy="218042"/>
          <a:chOff x="198045" y="3663821"/>
          <a:chExt cx="1310870" cy="227822"/>
        </a:xfrm>
      </xdr:grpSpPr>
      <xdr:grpSp>
        <xdr:nvGrpSpPr>
          <xdr:cNvPr id="46" name="Group 45">
            <a:extLst>
              <a:ext uri="{FF2B5EF4-FFF2-40B4-BE49-F238E27FC236}">
                <a16:creationId xmlns:a16="http://schemas.microsoft.com/office/drawing/2014/main" id="{CEF0F892-5B16-60F4-96B4-9F7BC496A699}"/>
              </a:ext>
            </a:extLst>
          </xdr:cNvPr>
          <xdr:cNvGrpSpPr/>
        </xdr:nvGrpSpPr>
        <xdr:grpSpPr>
          <a:xfrm>
            <a:off x="198045" y="3663821"/>
            <a:ext cx="655434" cy="227822"/>
            <a:chOff x="1509155" y="1738004"/>
            <a:chExt cx="909204" cy="228600"/>
          </a:xfrm>
          <a:solidFill>
            <a:sysClr val="window" lastClr="FFFFFF"/>
          </a:solidFill>
        </xdr:grpSpPr>
        <xdr:sp macro="" textlink="">
          <xdr:nvSpPr>
            <xdr:cNvPr id="52" name="Text Box 2">
              <a:extLst>
                <a:ext uri="{FF2B5EF4-FFF2-40B4-BE49-F238E27FC236}">
                  <a16:creationId xmlns:a16="http://schemas.microsoft.com/office/drawing/2014/main" id="{3EBAED83-39F7-B9A0-593C-E869C14F3AC5}"/>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53" name="Straight Connector 52">
              <a:extLst>
                <a:ext uri="{FF2B5EF4-FFF2-40B4-BE49-F238E27FC236}">
                  <a16:creationId xmlns:a16="http://schemas.microsoft.com/office/drawing/2014/main" id="{B1B6334B-B1F1-1D58-B553-8EAB4B4D77B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4" name="Straight Connector 53">
              <a:extLst>
                <a:ext uri="{FF2B5EF4-FFF2-40B4-BE49-F238E27FC236}">
                  <a16:creationId xmlns:a16="http://schemas.microsoft.com/office/drawing/2014/main" id="{F9B8C3B2-0D29-9460-05D4-B8D4D6F42D51}"/>
                </a:ext>
              </a:extLst>
            </xdr:cNvPr>
            <xdr:cNvCxnSpPr>
              <a:stCxn id="52"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a:extLst>
                <a:ext uri="{FF2B5EF4-FFF2-40B4-BE49-F238E27FC236}">
                  <a16:creationId xmlns:a16="http://schemas.microsoft.com/office/drawing/2014/main" id="{8B47CAD8-4314-1E8A-045C-5249431E16FF}"/>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47" name="Group 46">
            <a:extLst>
              <a:ext uri="{FF2B5EF4-FFF2-40B4-BE49-F238E27FC236}">
                <a16:creationId xmlns:a16="http://schemas.microsoft.com/office/drawing/2014/main" id="{9E372A6D-B5CF-4FD0-A1F5-B625620C800A}"/>
              </a:ext>
            </a:extLst>
          </xdr:cNvPr>
          <xdr:cNvGrpSpPr/>
        </xdr:nvGrpSpPr>
        <xdr:grpSpPr>
          <a:xfrm>
            <a:off x="853481" y="3663821"/>
            <a:ext cx="655434" cy="227822"/>
            <a:chOff x="1509155" y="1738004"/>
            <a:chExt cx="909204" cy="228600"/>
          </a:xfrm>
          <a:solidFill>
            <a:sysClr val="window" lastClr="FFFFFF"/>
          </a:solidFill>
        </xdr:grpSpPr>
        <xdr:sp macro="" textlink="">
          <xdr:nvSpPr>
            <xdr:cNvPr id="48" name="Text Box 2">
              <a:extLst>
                <a:ext uri="{FF2B5EF4-FFF2-40B4-BE49-F238E27FC236}">
                  <a16:creationId xmlns:a16="http://schemas.microsoft.com/office/drawing/2014/main" id="{0BDAC25B-D003-7326-3977-CF6219FD625D}"/>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9" name="Straight Connector 48">
              <a:extLst>
                <a:ext uri="{FF2B5EF4-FFF2-40B4-BE49-F238E27FC236}">
                  <a16:creationId xmlns:a16="http://schemas.microsoft.com/office/drawing/2014/main" id="{751B50C6-C081-571C-A7FB-F9F6D148068B}"/>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0" name="Straight Connector 49">
              <a:extLst>
                <a:ext uri="{FF2B5EF4-FFF2-40B4-BE49-F238E27FC236}">
                  <a16:creationId xmlns:a16="http://schemas.microsoft.com/office/drawing/2014/main" id="{96344B6B-36F8-A7FD-86EE-9D33BBE3BCD7}"/>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1" name="Straight Connector 50">
              <a:extLst>
                <a:ext uri="{FF2B5EF4-FFF2-40B4-BE49-F238E27FC236}">
                  <a16:creationId xmlns:a16="http://schemas.microsoft.com/office/drawing/2014/main" id="{02750112-2F86-9162-B2DE-468D9B595F15}"/>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8</xdr:col>
      <xdr:colOff>25770</xdr:colOff>
      <xdr:row>79</xdr:row>
      <xdr:rowOff>34644</xdr:rowOff>
    </xdr:from>
    <xdr:to>
      <xdr:col>16</xdr:col>
      <xdr:colOff>118968</xdr:colOff>
      <xdr:row>80</xdr:row>
      <xdr:rowOff>118348</xdr:rowOff>
    </xdr:to>
    <xdr:sp macro="" textlink="">
      <xdr:nvSpPr>
        <xdr:cNvPr id="56" name="Text Box 2">
          <a:extLst>
            <a:ext uri="{FF2B5EF4-FFF2-40B4-BE49-F238E27FC236}">
              <a16:creationId xmlns:a16="http://schemas.microsoft.com/office/drawing/2014/main" id="{FDEF3280-AEE0-41AA-901F-C2E116B3FEF5}"/>
            </a:ext>
          </a:extLst>
        </xdr:cNvPr>
        <xdr:cNvSpPr txBox="1">
          <a:spLocks noChangeArrowheads="1"/>
        </xdr:cNvSpPr>
      </xdr:nvSpPr>
      <xdr:spPr bwMode="auto">
        <a:xfrm>
          <a:off x="1473570" y="10807419"/>
          <a:ext cx="1540998" cy="226579"/>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lientData/>
  </xdr:twoCellAnchor>
  <xdr:twoCellAnchor editAs="oneCell">
    <xdr:from>
      <xdr:col>29</xdr:col>
      <xdr:colOff>41673</xdr:colOff>
      <xdr:row>4</xdr:row>
      <xdr:rowOff>47625</xdr:rowOff>
    </xdr:from>
    <xdr:to>
      <xdr:col>39</xdr:col>
      <xdr:colOff>119063</xdr:colOff>
      <xdr:row>7</xdr:row>
      <xdr:rowOff>85725</xdr:rowOff>
    </xdr:to>
    <xdr:pic>
      <xdr:nvPicPr>
        <xdr:cNvPr id="57" name="Picture 56" descr="C:\Users\kimberly.forones\AppData\Local\Microsoft\Windows\INetCache\Content.Word\2307 0118ENCS.PNG">
          <a:extLst>
            <a:ext uri="{FF2B5EF4-FFF2-40B4-BE49-F238E27FC236}">
              <a16:creationId xmlns:a16="http://schemas.microsoft.com/office/drawing/2014/main" id="{7DE4C7A4-FA62-4E75-AA6B-7DD24671145C}"/>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318523" y="581025"/>
          <a:ext cx="1887140" cy="409575"/>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19050</xdr:colOff>
      <xdr:row>2</xdr:row>
      <xdr:rowOff>35801</xdr:rowOff>
    </xdr:from>
    <xdr:ext cx="454269" cy="234462"/>
    <xdr:sp macro="" textlink="">
      <xdr:nvSpPr>
        <xdr:cNvPr id="2" name="Rectangle 229">
          <a:extLst>
            <a:ext uri="{FF2B5EF4-FFF2-40B4-BE49-F238E27FC236}">
              <a16:creationId xmlns:a16="http://schemas.microsoft.com/office/drawing/2014/main" id="{00000000-0008-0000-0000-000002000000}"/>
            </a:ext>
          </a:extLst>
        </xdr:cNvPr>
        <xdr:cNvSpPr>
          <a:spLocks noChangeArrowheads="1"/>
        </xdr:cNvSpPr>
      </xdr:nvSpPr>
      <xdr:spPr bwMode="auto">
        <a:xfrm>
          <a:off x="19050" y="259146"/>
          <a:ext cx="454269" cy="234462"/>
        </a:xfrm>
        <a:prstGeom prst="rect">
          <a:avLst/>
        </a:prstGeom>
        <a:solidFill>
          <a:schemeClr val="bg1">
            <a:lumMod val="85000"/>
          </a:schemeClr>
        </a:solidFill>
        <a:ln>
          <a:noFill/>
        </a:ln>
      </xdr:spPr>
      <xdr:txBody>
        <a:bodyPr wrap="none" lIns="0" tIns="0" rIns="0" bIns="0" anchor="t" upright="1">
          <a:noAutofit/>
        </a:bodyPr>
        <a:lstStyle/>
        <a:p>
          <a:pPr algn="l" rtl="0">
            <a:defRPr sz="1000"/>
          </a:pPr>
          <a:r>
            <a:rPr lang="en-US" sz="800" b="0" i="0" u="none" strike="noStrike" baseline="0">
              <a:solidFill>
                <a:srgbClr val="000000"/>
              </a:solidFill>
              <a:latin typeface="Arial"/>
              <a:cs typeface="Arial"/>
            </a:rPr>
            <a:t> For BIR  </a:t>
          </a:r>
        </a:p>
        <a:p>
          <a:pPr algn="l" rtl="0">
            <a:defRPr sz="1000"/>
          </a:pPr>
          <a:r>
            <a:rPr lang="en-US" sz="800" b="0" i="0" u="none" strike="noStrike" baseline="0">
              <a:solidFill>
                <a:srgbClr val="000000"/>
              </a:solidFill>
              <a:latin typeface="Arial"/>
              <a:cs typeface="Arial"/>
            </a:rPr>
            <a:t> Use Only </a:t>
          </a:r>
        </a:p>
      </xdr:txBody>
    </xdr:sp>
    <xdr:clientData/>
  </xdr:oneCellAnchor>
  <xdr:oneCellAnchor>
    <xdr:from>
      <xdr:col>2</xdr:col>
      <xdr:colOff>111371</xdr:colOff>
      <xdr:row>2</xdr:row>
      <xdr:rowOff>35801</xdr:rowOff>
    </xdr:from>
    <xdr:ext cx="300404" cy="234462"/>
    <xdr:sp macro="" textlink="">
      <xdr:nvSpPr>
        <xdr:cNvPr id="3" name="Rectangle 229">
          <a:extLst>
            <a:ext uri="{FF2B5EF4-FFF2-40B4-BE49-F238E27FC236}">
              <a16:creationId xmlns:a16="http://schemas.microsoft.com/office/drawing/2014/main" id="{00000000-0008-0000-0000-000003000000}"/>
            </a:ext>
          </a:extLst>
        </xdr:cNvPr>
        <xdr:cNvSpPr>
          <a:spLocks noChangeArrowheads="1"/>
        </xdr:cNvSpPr>
      </xdr:nvSpPr>
      <xdr:spPr bwMode="auto">
        <a:xfrm>
          <a:off x="479233" y="259146"/>
          <a:ext cx="300404" cy="234462"/>
        </a:xfrm>
        <a:prstGeom prst="rect">
          <a:avLst/>
        </a:prstGeom>
        <a:noFill/>
        <a:ln>
          <a:noFill/>
        </a:ln>
      </xdr:spPr>
      <xdr:txBody>
        <a:bodyPr wrap="none" lIns="0" tIns="0" rIns="0" bIns="0" anchor="t" upright="1">
          <a:noAutofit/>
        </a:bodyPr>
        <a:lstStyle/>
        <a:p>
          <a:pPr algn="l" rtl="0">
            <a:defRPr sz="1000"/>
          </a:pPr>
          <a:r>
            <a:rPr lang="en-US" sz="800" b="0" i="0" u="none" strike="noStrike" baseline="0">
              <a:solidFill>
                <a:srgbClr val="000000"/>
              </a:solidFill>
              <a:latin typeface="Arial"/>
              <a:cs typeface="Arial"/>
            </a:rPr>
            <a:t> BCS/</a:t>
          </a:r>
        </a:p>
        <a:p>
          <a:pPr algn="l" rtl="0">
            <a:defRPr sz="1000"/>
          </a:pPr>
          <a:r>
            <a:rPr lang="en-US" sz="800" b="0" i="0" u="none" strike="noStrike" baseline="0">
              <a:solidFill>
                <a:srgbClr val="000000"/>
              </a:solidFill>
              <a:latin typeface="Arial"/>
              <a:cs typeface="Arial"/>
            </a:rPr>
            <a:t> Item: </a:t>
          </a:r>
        </a:p>
      </xdr:txBody>
    </xdr:sp>
    <xdr:clientData/>
  </xdr:oneCellAnchor>
  <xdr:twoCellAnchor editAs="oneCell">
    <xdr:from>
      <xdr:col>13</xdr:col>
      <xdr:colOff>68396</xdr:colOff>
      <xdr:row>0</xdr:row>
      <xdr:rowOff>26724</xdr:rowOff>
    </xdr:from>
    <xdr:to>
      <xdr:col>16</xdr:col>
      <xdr:colOff>39821</xdr:colOff>
      <xdr:row>3</xdr:row>
      <xdr:rowOff>114300</xdr:rowOff>
    </xdr:to>
    <xdr:pic>
      <xdr:nvPicPr>
        <xdr:cNvPr id="4" name="Picture 232">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1" cstate="print">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90115" y="26724"/>
          <a:ext cx="507206" cy="4559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77276</xdr:colOff>
      <xdr:row>4</xdr:row>
      <xdr:rowOff>12370</xdr:rowOff>
    </xdr:from>
    <xdr:to>
      <xdr:col>6</xdr:col>
      <xdr:colOff>180710</xdr:colOff>
      <xdr:row>8</xdr:row>
      <xdr:rowOff>109021</xdr:rowOff>
    </xdr:to>
    <xdr:grpSp>
      <xdr:nvGrpSpPr>
        <xdr:cNvPr id="5" name="Group 4">
          <a:extLst>
            <a:ext uri="{FF2B5EF4-FFF2-40B4-BE49-F238E27FC236}">
              <a16:creationId xmlns:a16="http://schemas.microsoft.com/office/drawing/2014/main" id="{00000000-0008-0000-0000-000005000000}"/>
            </a:ext>
          </a:extLst>
        </xdr:cNvPr>
        <xdr:cNvGrpSpPr/>
      </xdr:nvGrpSpPr>
      <xdr:grpSpPr>
        <a:xfrm>
          <a:off x="77276" y="532632"/>
          <a:ext cx="1207020" cy="580127"/>
          <a:chOff x="7327" y="521368"/>
          <a:chExt cx="1179635" cy="669862"/>
        </a:xfrm>
      </xdr:grpSpPr>
      <xdr:sp macro="" textlink="">
        <xdr:nvSpPr>
          <xdr:cNvPr id="6" name="Rectangle 234">
            <a:extLst>
              <a:ext uri="{FF2B5EF4-FFF2-40B4-BE49-F238E27FC236}">
                <a16:creationId xmlns:a16="http://schemas.microsoft.com/office/drawing/2014/main" id="{00000000-0008-0000-0000-000006000000}"/>
              </a:ext>
            </a:extLst>
          </xdr:cNvPr>
          <xdr:cNvSpPr>
            <a:spLocks noChangeArrowheads="1"/>
          </xdr:cNvSpPr>
        </xdr:nvSpPr>
        <xdr:spPr bwMode="auto">
          <a:xfrm>
            <a:off x="86612" y="635773"/>
            <a:ext cx="815465" cy="43096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upright="1">
            <a:spAutoFit/>
          </a:bodyPr>
          <a:lstStyle/>
          <a:p>
            <a:pPr algn="l" rtl="0">
              <a:defRPr sz="1000"/>
            </a:pPr>
            <a:r>
              <a:rPr lang="en-US" sz="2600" b="1" i="0" u="none" strike="noStrike" baseline="0">
                <a:solidFill>
                  <a:srgbClr val="000000"/>
                </a:solidFill>
                <a:latin typeface="Arial"/>
                <a:cs typeface="Arial"/>
              </a:rPr>
              <a:t> 2307</a:t>
            </a:r>
          </a:p>
        </xdr:txBody>
      </xdr:sp>
      <xdr:sp macro="" textlink="">
        <xdr:nvSpPr>
          <xdr:cNvPr id="7" name="Text Box 241">
            <a:extLst>
              <a:ext uri="{FF2B5EF4-FFF2-40B4-BE49-F238E27FC236}">
                <a16:creationId xmlns:a16="http://schemas.microsoft.com/office/drawing/2014/main" id="{00000000-0008-0000-0000-000007000000}"/>
              </a:ext>
            </a:extLst>
          </xdr:cNvPr>
          <xdr:cNvSpPr txBox="1">
            <a:spLocks noChangeArrowheads="1"/>
          </xdr:cNvSpPr>
        </xdr:nvSpPr>
        <xdr:spPr bwMode="auto">
          <a:xfrm>
            <a:off x="7327" y="1003826"/>
            <a:ext cx="1179635" cy="18740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22860" rIns="0" bIns="0" anchor="t" upright="1"/>
          <a:lstStyle/>
          <a:p>
            <a:pPr algn="l" rtl="0">
              <a:defRPr sz="1000"/>
            </a:pPr>
            <a:r>
              <a:rPr lang="en-US" sz="800" b="0" i="0" u="none" strike="noStrike" baseline="0">
                <a:solidFill>
                  <a:srgbClr val="000000"/>
                </a:solidFill>
                <a:latin typeface="Arial"/>
                <a:cs typeface="Arial"/>
              </a:rPr>
              <a:t>January 2018 (ENCS)</a:t>
            </a:r>
          </a:p>
        </xdr:txBody>
      </xdr:sp>
      <xdr:sp macro="" textlink="">
        <xdr:nvSpPr>
          <xdr:cNvPr id="8" name="Text Box 242">
            <a:extLst>
              <a:ext uri="{FF2B5EF4-FFF2-40B4-BE49-F238E27FC236}">
                <a16:creationId xmlns:a16="http://schemas.microsoft.com/office/drawing/2014/main" id="{00000000-0008-0000-0000-000008000000}"/>
              </a:ext>
            </a:extLst>
          </xdr:cNvPr>
          <xdr:cNvSpPr txBox="1">
            <a:spLocks noChangeArrowheads="1"/>
          </xdr:cNvSpPr>
        </xdr:nvSpPr>
        <xdr:spPr bwMode="auto">
          <a:xfrm>
            <a:off x="165593" y="521368"/>
            <a:ext cx="823543" cy="14800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22860" rIns="0" bIns="0" anchor="t" upright="1"/>
          <a:lstStyle/>
          <a:p>
            <a:pPr algn="l" rtl="0">
              <a:defRPr sz="1000"/>
            </a:pPr>
            <a:r>
              <a:rPr lang="en-US" sz="800" b="0" i="0" u="none" strike="noStrike" baseline="0">
                <a:solidFill>
                  <a:srgbClr val="000000"/>
                </a:solidFill>
                <a:latin typeface="Arial"/>
                <a:cs typeface="Arial"/>
              </a:rPr>
              <a:t> BIR Form No.</a:t>
            </a:r>
          </a:p>
        </xdr:txBody>
      </xdr:sp>
    </xdr:grpSp>
    <xdr:clientData/>
  </xdr:twoCellAnchor>
  <xdr:twoCellAnchor>
    <xdr:from>
      <xdr:col>34</xdr:col>
      <xdr:colOff>160811</xdr:colOff>
      <xdr:row>7</xdr:row>
      <xdr:rowOff>74222</xdr:rowOff>
    </xdr:from>
    <xdr:to>
      <xdr:col>40</xdr:col>
      <xdr:colOff>145695</xdr:colOff>
      <xdr:row>9</xdr:row>
      <xdr:rowOff>35300</xdr:rowOff>
    </xdr:to>
    <xdr:sp macro="" textlink="">
      <xdr:nvSpPr>
        <xdr:cNvPr id="14" name="Text Box 2">
          <a:extLst>
            <a:ext uri="{FF2B5EF4-FFF2-40B4-BE49-F238E27FC236}">
              <a16:creationId xmlns:a16="http://schemas.microsoft.com/office/drawing/2014/main" id="{00000000-0008-0000-0000-00000E000000}"/>
            </a:ext>
          </a:extLst>
        </xdr:cNvPr>
        <xdr:cNvSpPr txBox="1">
          <a:spLocks noChangeArrowheads="1"/>
        </xdr:cNvSpPr>
      </xdr:nvSpPr>
      <xdr:spPr bwMode="auto">
        <a:xfrm>
          <a:off x="6440742" y="961032"/>
          <a:ext cx="1088470" cy="210699"/>
        </a:xfrm>
        <a:prstGeom prst="rect">
          <a:avLst/>
        </a:prstGeom>
        <a:noFill/>
        <a:ln w="9525">
          <a:noFill/>
          <a:miter lim="800000"/>
          <a:headEnd/>
          <a:tailEnd/>
        </a:ln>
      </xdr:spPr>
      <xdr:txBody>
        <a:bodyPr rot="0" vert="horz" wrap="square" lIns="91440" tIns="45720" rIns="91440" bIns="45720" anchor="t" anchorCtr="0">
          <a:spAutoFit/>
        </a:bodyPr>
        <a:lstStyle/>
        <a:p>
          <a:pPr marL="0" marR="0">
            <a:spcBef>
              <a:spcPts val="0"/>
            </a:spcBef>
            <a:spcAft>
              <a:spcPts val="0"/>
            </a:spcAft>
          </a:pPr>
          <a:r>
            <a:rPr lang="en-US" sz="800">
              <a:effectLst/>
              <a:latin typeface="Arial" panose="020B0604020202020204" pitchFamily="34" charset="0"/>
              <a:ea typeface="Times New Roman" panose="02020603050405020304" pitchFamily="18" charset="0"/>
            </a:rPr>
            <a:t>2307 01/18ENCS</a:t>
          </a: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9</xdr:col>
      <xdr:colOff>48374</xdr:colOff>
      <xdr:row>10</xdr:row>
      <xdr:rowOff>43583</xdr:rowOff>
    </xdr:from>
    <xdr:to>
      <xdr:col>16</xdr:col>
      <xdr:colOff>104962</xdr:colOff>
      <xdr:row>11</xdr:row>
      <xdr:rowOff>121825</xdr:rowOff>
    </xdr:to>
    <xdr:grpSp>
      <xdr:nvGrpSpPr>
        <xdr:cNvPr id="215" name="Group 214">
          <a:extLst>
            <a:ext uri="{FF2B5EF4-FFF2-40B4-BE49-F238E27FC236}">
              <a16:creationId xmlns:a16="http://schemas.microsoft.com/office/drawing/2014/main" id="{00000000-0008-0000-0000-0000D7000000}"/>
            </a:ext>
          </a:extLst>
        </xdr:cNvPr>
        <xdr:cNvGrpSpPr/>
      </xdr:nvGrpSpPr>
      <xdr:grpSpPr>
        <a:xfrm>
          <a:off x="1703753" y="1299569"/>
          <a:ext cx="1344106" cy="214877"/>
          <a:chOff x="198044" y="3663821"/>
          <a:chExt cx="1310871" cy="227824"/>
        </a:xfrm>
      </xdr:grpSpPr>
      <xdr:grpSp>
        <xdr:nvGrpSpPr>
          <xdr:cNvPr id="216" name="Group 215">
            <a:extLst>
              <a:ext uri="{FF2B5EF4-FFF2-40B4-BE49-F238E27FC236}">
                <a16:creationId xmlns:a16="http://schemas.microsoft.com/office/drawing/2014/main" id="{00000000-0008-0000-0000-0000D8000000}"/>
              </a:ext>
            </a:extLst>
          </xdr:cNvPr>
          <xdr:cNvGrpSpPr/>
        </xdr:nvGrpSpPr>
        <xdr:grpSpPr>
          <a:xfrm>
            <a:off x="198044" y="3663821"/>
            <a:ext cx="655434" cy="227824"/>
            <a:chOff x="1509155" y="1738003"/>
            <a:chExt cx="909205" cy="228602"/>
          </a:xfrm>
          <a:solidFill>
            <a:sysClr val="window" lastClr="FFFFFF"/>
          </a:solidFill>
        </xdr:grpSpPr>
        <xdr:sp macro="" textlink="">
          <xdr:nvSpPr>
            <xdr:cNvPr id="223" name="Text Box 2">
              <a:extLst>
                <a:ext uri="{FF2B5EF4-FFF2-40B4-BE49-F238E27FC236}">
                  <a16:creationId xmlns:a16="http://schemas.microsoft.com/office/drawing/2014/main" id="{00000000-0008-0000-0000-0000DF000000}"/>
                </a:ext>
              </a:extLst>
            </xdr:cNvPr>
            <xdr:cNvSpPr txBox="1">
              <a:spLocks noChangeArrowheads="1"/>
            </xdr:cNvSpPr>
          </xdr:nvSpPr>
          <xdr:spPr bwMode="auto">
            <a:xfrm>
              <a:off x="1509155" y="1738003"/>
              <a:ext cx="909205" cy="228600"/>
            </a:xfrm>
            <a:prstGeom prst="rect">
              <a:avLst/>
            </a:prstGeom>
            <a:grpFill/>
            <a:ln w="6350">
              <a:solidFill>
                <a:schemeClr val="tx1"/>
              </a:solidFill>
              <a:miter lim="800000"/>
              <a:headEnd/>
              <a:tailEnd/>
            </a:ln>
          </xdr:spPr>
          <xdr:txBody>
            <a:bodyPr rot="0" vert="horz" wrap="square" lIns="91440" tIns="45720" rIns="91440" bIns="45720" anchor="b" anchorCtr="0">
              <a:noAutofit/>
            </a:bodyPr>
            <a:lstStyle/>
            <a:p>
              <a:pPr marL="0" marR="0">
                <a:spcBef>
                  <a:spcPts val="0"/>
                </a:spcBef>
                <a:spcAft>
                  <a:spcPts val="0"/>
                </a:spcAft>
              </a:pPr>
              <a:r>
                <a:rPr lang="en-US" sz="1100" baseline="0">
                  <a:effectLst/>
                  <a:latin typeface="Times New Roman" panose="02020603050405020304" pitchFamily="18" charset="0"/>
                  <a:ea typeface="Times New Roman" panose="02020603050405020304" pitchFamily="18" charset="0"/>
                </a:rPr>
                <a:t>0 7    0 1</a:t>
              </a:r>
              <a:endParaRPr lang="en-US" sz="1100">
                <a:effectLst/>
                <a:latin typeface="Times New Roman" panose="02020603050405020304" pitchFamily="18" charset="0"/>
                <a:ea typeface="Times New Roman" panose="02020603050405020304" pitchFamily="18" charset="0"/>
              </a:endParaRPr>
            </a:p>
          </xdr:txBody>
        </xdr:sp>
        <xdr:cxnSp macro="">
          <xdr:nvCxnSpPr>
            <xdr:cNvPr id="224" name="Straight Connector 223">
              <a:extLst>
                <a:ext uri="{FF2B5EF4-FFF2-40B4-BE49-F238E27FC236}">
                  <a16:creationId xmlns:a16="http://schemas.microsoft.com/office/drawing/2014/main" id="{00000000-0008-0000-0000-0000E000000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41" name="Straight Connector 240">
              <a:extLst>
                <a:ext uri="{FF2B5EF4-FFF2-40B4-BE49-F238E27FC236}">
                  <a16:creationId xmlns:a16="http://schemas.microsoft.com/office/drawing/2014/main" id="{00000000-0008-0000-0000-0000F1000000}"/>
                </a:ext>
              </a:extLst>
            </xdr:cNvPr>
            <xdr:cNvCxnSpPr>
              <a:stCxn id="223" idx="0"/>
            </xdr:cNvCxnSpPr>
          </xdr:nvCxnSpPr>
          <xdr:spPr>
            <a:xfrm>
              <a:off x="1963756"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42" name="Straight Connector 241">
              <a:extLst>
                <a:ext uri="{FF2B5EF4-FFF2-40B4-BE49-F238E27FC236}">
                  <a16:creationId xmlns:a16="http://schemas.microsoft.com/office/drawing/2014/main" id="{00000000-0008-0000-0000-0000F2000000}"/>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217" name="Group 216">
            <a:extLst>
              <a:ext uri="{FF2B5EF4-FFF2-40B4-BE49-F238E27FC236}">
                <a16:creationId xmlns:a16="http://schemas.microsoft.com/office/drawing/2014/main" id="{00000000-0008-0000-0000-0000D9000000}"/>
              </a:ext>
            </a:extLst>
          </xdr:cNvPr>
          <xdr:cNvGrpSpPr/>
        </xdr:nvGrpSpPr>
        <xdr:grpSpPr>
          <a:xfrm>
            <a:off x="853481" y="3663821"/>
            <a:ext cx="655434" cy="227822"/>
            <a:chOff x="1509155" y="1738004"/>
            <a:chExt cx="909204" cy="228600"/>
          </a:xfrm>
          <a:solidFill>
            <a:sysClr val="window" lastClr="FFFFFF"/>
          </a:solidFill>
        </xdr:grpSpPr>
        <xdr:sp macro="" textlink="">
          <xdr:nvSpPr>
            <xdr:cNvPr id="218" name="Text Box 2">
              <a:extLst>
                <a:ext uri="{FF2B5EF4-FFF2-40B4-BE49-F238E27FC236}">
                  <a16:creationId xmlns:a16="http://schemas.microsoft.com/office/drawing/2014/main" id="{00000000-0008-0000-0000-0000DA000000}"/>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b" anchorCtr="0">
              <a:noAutofit/>
            </a:bodyPr>
            <a:lstStyle/>
            <a:p>
              <a:pPr marL="0" marR="0">
                <a:spcBef>
                  <a:spcPts val="0"/>
                </a:spcBef>
                <a:spcAft>
                  <a:spcPts val="0"/>
                </a:spcAft>
              </a:pPr>
              <a:r>
                <a:rPr lang="en-US" sz="1100">
                  <a:effectLst/>
                  <a:latin typeface="Times New Roman" panose="02020603050405020304" pitchFamily="18" charset="0"/>
                  <a:ea typeface="Times New Roman" panose="02020603050405020304" pitchFamily="18" charset="0"/>
                </a:rPr>
                <a:t> 2 0 2  5</a:t>
              </a:r>
            </a:p>
          </xdr:txBody>
        </xdr:sp>
        <xdr:cxnSp macro="">
          <xdr:nvCxnSpPr>
            <xdr:cNvPr id="220" name="Straight Connector 219">
              <a:extLst>
                <a:ext uri="{FF2B5EF4-FFF2-40B4-BE49-F238E27FC236}">
                  <a16:creationId xmlns:a16="http://schemas.microsoft.com/office/drawing/2014/main" id="{00000000-0008-0000-0000-0000DC00000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21" name="Straight Connector 220">
              <a:extLst>
                <a:ext uri="{FF2B5EF4-FFF2-40B4-BE49-F238E27FC236}">
                  <a16:creationId xmlns:a16="http://schemas.microsoft.com/office/drawing/2014/main" id="{00000000-0008-0000-0000-0000DD000000}"/>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22" name="Straight Connector 221">
              <a:extLst>
                <a:ext uri="{FF2B5EF4-FFF2-40B4-BE49-F238E27FC236}">
                  <a16:creationId xmlns:a16="http://schemas.microsoft.com/office/drawing/2014/main" id="{00000000-0008-0000-0000-0000DE000000}"/>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26</xdr:col>
      <xdr:colOff>55387</xdr:colOff>
      <xdr:row>10</xdr:row>
      <xdr:rowOff>33810</xdr:rowOff>
    </xdr:from>
    <xdr:to>
      <xdr:col>33</xdr:col>
      <xdr:colOff>111975</xdr:colOff>
      <xdr:row>11</xdr:row>
      <xdr:rowOff>120709</xdr:rowOff>
    </xdr:to>
    <xdr:grpSp>
      <xdr:nvGrpSpPr>
        <xdr:cNvPr id="287" name="Group 286">
          <a:extLst>
            <a:ext uri="{FF2B5EF4-FFF2-40B4-BE49-F238E27FC236}">
              <a16:creationId xmlns:a16="http://schemas.microsoft.com/office/drawing/2014/main" id="{00000000-0008-0000-0000-00001F010000}"/>
            </a:ext>
          </a:extLst>
        </xdr:cNvPr>
        <xdr:cNvGrpSpPr/>
      </xdr:nvGrpSpPr>
      <xdr:grpSpPr>
        <a:xfrm>
          <a:off x="4869125" y="1289796"/>
          <a:ext cx="1344105" cy="223534"/>
          <a:chOff x="198045" y="3663821"/>
          <a:chExt cx="1310870" cy="227822"/>
        </a:xfrm>
      </xdr:grpSpPr>
      <xdr:grpSp>
        <xdr:nvGrpSpPr>
          <xdr:cNvPr id="288" name="Group 287">
            <a:extLst>
              <a:ext uri="{FF2B5EF4-FFF2-40B4-BE49-F238E27FC236}">
                <a16:creationId xmlns:a16="http://schemas.microsoft.com/office/drawing/2014/main" id="{00000000-0008-0000-0000-000020010000}"/>
              </a:ext>
            </a:extLst>
          </xdr:cNvPr>
          <xdr:cNvGrpSpPr/>
        </xdr:nvGrpSpPr>
        <xdr:grpSpPr>
          <a:xfrm>
            <a:off x="198045" y="3663821"/>
            <a:ext cx="655434" cy="227822"/>
            <a:chOff x="1509155" y="1738004"/>
            <a:chExt cx="909204" cy="228600"/>
          </a:xfrm>
          <a:solidFill>
            <a:sysClr val="window" lastClr="FFFFFF"/>
          </a:solidFill>
        </xdr:grpSpPr>
        <xdr:sp macro="" textlink="">
          <xdr:nvSpPr>
            <xdr:cNvPr id="294" name="Text Box 2">
              <a:extLst>
                <a:ext uri="{FF2B5EF4-FFF2-40B4-BE49-F238E27FC236}">
                  <a16:creationId xmlns:a16="http://schemas.microsoft.com/office/drawing/2014/main" id="{00000000-0008-0000-0000-000026010000}"/>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b" anchorCtr="0">
              <a:noAutofit/>
            </a:bodyPr>
            <a:lstStyle/>
            <a:p>
              <a:pPr marL="0" marR="0">
                <a:spcBef>
                  <a:spcPts val="0"/>
                </a:spcBef>
                <a:spcAft>
                  <a:spcPts val="0"/>
                </a:spcAft>
              </a:pPr>
              <a:r>
                <a:rPr lang="en-US" sz="1100" baseline="0">
                  <a:effectLst/>
                  <a:latin typeface="Times New Roman" panose="02020603050405020304" pitchFamily="18" charset="0"/>
                  <a:ea typeface="Times New Roman" panose="02020603050405020304" pitchFamily="18" charset="0"/>
                </a:rPr>
                <a:t>0 9   </a:t>
              </a:r>
              <a:r>
                <a:rPr lang="en-US" sz="1100">
                  <a:effectLst/>
                  <a:latin typeface="Times New Roman" panose="02020603050405020304" pitchFamily="18" charset="0"/>
                  <a:ea typeface="Times New Roman" panose="02020603050405020304" pitchFamily="18" charset="0"/>
                </a:rPr>
                <a:t> 3 0</a:t>
              </a:r>
            </a:p>
          </xdr:txBody>
        </xdr:sp>
        <xdr:cxnSp macro="">
          <xdr:nvCxnSpPr>
            <xdr:cNvPr id="295" name="Straight Connector 294">
              <a:extLst>
                <a:ext uri="{FF2B5EF4-FFF2-40B4-BE49-F238E27FC236}">
                  <a16:creationId xmlns:a16="http://schemas.microsoft.com/office/drawing/2014/main" id="{00000000-0008-0000-0000-00002701000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96" name="Straight Connector 295">
              <a:extLst>
                <a:ext uri="{FF2B5EF4-FFF2-40B4-BE49-F238E27FC236}">
                  <a16:creationId xmlns:a16="http://schemas.microsoft.com/office/drawing/2014/main" id="{00000000-0008-0000-0000-000028010000}"/>
                </a:ext>
              </a:extLst>
            </xdr:cNvPr>
            <xdr:cNvCxnSpPr>
              <a:stCxn id="294"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97" name="Straight Connector 296">
              <a:extLst>
                <a:ext uri="{FF2B5EF4-FFF2-40B4-BE49-F238E27FC236}">
                  <a16:creationId xmlns:a16="http://schemas.microsoft.com/office/drawing/2014/main" id="{00000000-0008-0000-0000-000029010000}"/>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289" name="Group 288">
            <a:extLst>
              <a:ext uri="{FF2B5EF4-FFF2-40B4-BE49-F238E27FC236}">
                <a16:creationId xmlns:a16="http://schemas.microsoft.com/office/drawing/2014/main" id="{00000000-0008-0000-0000-000021010000}"/>
              </a:ext>
            </a:extLst>
          </xdr:cNvPr>
          <xdr:cNvGrpSpPr/>
        </xdr:nvGrpSpPr>
        <xdr:grpSpPr>
          <a:xfrm>
            <a:off x="853481" y="3663821"/>
            <a:ext cx="655434" cy="227822"/>
            <a:chOff x="1509155" y="1738004"/>
            <a:chExt cx="909204" cy="228600"/>
          </a:xfrm>
          <a:solidFill>
            <a:sysClr val="window" lastClr="FFFFFF"/>
          </a:solidFill>
        </xdr:grpSpPr>
        <xdr:sp macro="" textlink="">
          <xdr:nvSpPr>
            <xdr:cNvPr id="290" name="Text Box 2">
              <a:extLst>
                <a:ext uri="{FF2B5EF4-FFF2-40B4-BE49-F238E27FC236}">
                  <a16:creationId xmlns:a16="http://schemas.microsoft.com/office/drawing/2014/main" id="{00000000-0008-0000-0000-000022010000}"/>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b" anchorCtr="0">
              <a:noAutofit/>
            </a:bodyPr>
            <a:lstStyle/>
            <a:p>
              <a:pPr marL="0" marR="0">
                <a:spcBef>
                  <a:spcPts val="0"/>
                </a:spcBef>
                <a:spcAft>
                  <a:spcPts val="0"/>
                </a:spcAft>
              </a:pPr>
              <a:r>
                <a:rPr lang="en-US" sz="1100">
                  <a:effectLst/>
                  <a:latin typeface="Times New Roman" panose="02020603050405020304" pitchFamily="18" charset="0"/>
                  <a:ea typeface="Times New Roman" panose="02020603050405020304" pitchFamily="18" charset="0"/>
                </a:rPr>
                <a:t>2  0  2</a:t>
              </a:r>
              <a:r>
                <a:rPr lang="en-US" sz="1100" baseline="0">
                  <a:effectLst/>
                  <a:latin typeface="Times New Roman" panose="02020603050405020304" pitchFamily="18" charset="0"/>
                  <a:ea typeface="Times New Roman" panose="02020603050405020304" pitchFamily="18" charset="0"/>
                </a:rPr>
                <a:t>  5</a:t>
              </a:r>
              <a:endParaRPr lang="en-US" sz="1100">
                <a:effectLst/>
                <a:latin typeface="Times New Roman" panose="02020603050405020304" pitchFamily="18" charset="0"/>
                <a:ea typeface="Times New Roman" panose="02020603050405020304" pitchFamily="18" charset="0"/>
              </a:endParaRPr>
            </a:p>
          </xdr:txBody>
        </xdr:sp>
        <xdr:cxnSp macro="">
          <xdr:nvCxnSpPr>
            <xdr:cNvPr id="291" name="Straight Connector 290">
              <a:extLst>
                <a:ext uri="{FF2B5EF4-FFF2-40B4-BE49-F238E27FC236}">
                  <a16:creationId xmlns:a16="http://schemas.microsoft.com/office/drawing/2014/main" id="{00000000-0008-0000-0000-00002301000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92" name="Straight Connector 291">
              <a:extLst>
                <a:ext uri="{FF2B5EF4-FFF2-40B4-BE49-F238E27FC236}">
                  <a16:creationId xmlns:a16="http://schemas.microsoft.com/office/drawing/2014/main" id="{00000000-0008-0000-0000-000024010000}"/>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93" name="Straight Connector 292">
              <a:extLst>
                <a:ext uri="{FF2B5EF4-FFF2-40B4-BE49-F238E27FC236}">
                  <a16:creationId xmlns:a16="http://schemas.microsoft.com/office/drawing/2014/main" id="{00000000-0008-0000-0000-000025010000}"/>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1</xdr:col>
      <xdr:colOff>19706</xdr:colOff>
      <xdr:row>16</xdr:row>
      <xdr:rowOff>0</xdr:rowOff>
    </xdr:from>
    <xdr:to>
      <xdr:col>39</xdr:col>
      <xdr:colOff>131378</xdr:colOff>
      <xdr:row>17</xdr:row>
      <xdr:rowOff>90482</xdr:rowOff>
    </xdr:to>
    <xdr:sp macro="" textlink="">
      <xdr:nvSpPr>
        <xdr:cNvPr id="370" name="Text Box 2">
          <a:extLst>
            <a:ext uri="{FF2B5EF4-FFF2-40B4-BE49-F238E27FC236}">
              <a16:creationId xmlns:a16="http://schemas.microsoft.com/office/drawing/2014/main" id="{00000000-0008-0000-0000-000072010000}"/>
            </a:ext>
          </a:extLst>
        </xdr:cNvPr>
        <xdr:cNvSpPr txBox="1">
          <a:spLocks noChangeArrowheads="1"/>
        </xdr:cNvSpPr>
      </xdr:nvSpPr>
      <xdr:spPr bwMode="auto">
        <a:xfrm>
          <a:off x="203637" y="2056086"/>
          <a:ext cx="7127327" cy="221862"/>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r>
            <a:rPr lang="en-US" sz="1200">
              <a:effectLst/>
              <a:latin typeface="Times New Roman" panose="02020603050405020304" pitchFamily="18" charset="0"/>
              <a:ea typeface="Times New Roman" panose="02020603050405020304" pitchFamily="18" charset="0"/>
            </a:rPr>
            <a:t>MKK</a:t>
          </a:r>
          <a:r>
            <a:rPr lang="en-US" sz="1200" baseline="0">
              <a:effectLst/>
              <a:latin typeface="Times New Roman" panose="02020603050405020304" pitchFamily="18" charset="0"/>
              <a:ea typeface="Times New Roman" panose="02020603050405020304" pitchFamily="18" charset="0"/>
            </a:rPr>
            <a:t>- Office Supplies Trading</a:t>
          </a:r>
          <a:endParaRPr lang="en-US" sz="1200">
            <a:effectLst/>
            <a:latin typeface="Times New Roman" panose="02020603050405020304" pitchFamily="18" charset="0"/>
            <a:ea typeface="Times New Roman" panose="02020603050405020304" pitchFamily="18" charset="0"/>
          </a:endParaRPr>
        </a:p>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1</xdr:col>
      <xdr:colOff>26276</xdr:colOff>
      <xdr:row>19</xdr:row>
      <xdr:rowOff>0</xdr:rowOff>
    </xdr:from>
    <xdr:to>
      <xdr:col>35</xdr:col>
      <xdr:colOff>151086</xdr:colOff>
      <xdr:row>20</xdr:row>
      <xdr:rowOff>90483</xdr:rowOff>
    </xdr:to>
    <xdr:sp macro="" textlink="">
      <xdr:nvSpPr>
        <xdr:cNvPr id="371" name="Text Box 2">
          <a:extLst>
            <a:ext uri="{FF2B5EF4-FFF2-40B4-BE49-F238E27FC236}">
              <a16:creationId xmlns:a16="http://schemas.microsoft.com/office/drawing/2014/main" id="{00000000-0008-0000-0000-000073010000}"/>
            </a:ext>
          </a:extLst>
        </xdr:cNvPr>
        <xdr:cNvSpPr txBox="1">
          <a:spLocks noChangeArrowheads="1"/>
        </xdr:cNvSpPr>
      </xdr:nvSpPr>
      <xdr:spPr bwMode="auto">
        <a:xfrm>
          <a:off x="210207" y="2450224"/>
          <a:ext cx="6404741" cy="221862"/>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r>
            <a:rPr lang="en-US" sz="1200">
              <a:effectLst/>
              <a:latin typeface="Times New Roman" panose="02020603050405020304" pitchFamily="18" charset="0"/>
              <a:ea typeface="Times New Roman" panose="02020603050405020304" pitchFamily="18" charset="0"/>
            </a:rPr>
            <a:t>B3,</a:t>
          </a:r>
          <a:r>
            <a:rPr lang="en-US" sz="1200" baseline="0">
              <a:effectLst/>
              <a:latin typeface="Times New Roman" panose="02020603050405020304" pitchFamily="18" charset="0"/>
              <a:ea typeface="Times New Roman" panose="02020603050405020304" pitchFamily="18" charset="0"/>
            </a:rPr>
            <a:t> L6 Montalban Hts, San Rodriguez, Rizal</a:t>
          </a: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36</xdr:col>
      <xdr:colOff>39414</xdr:colOff>
      <xdr:row>19</xdr:row>
      <xdr:rowOff>2</xdr:rowOff>
    </xdr:from>
    <xdr:to>
      <xdr:col>39</xdr:col>
      <xdr:colOff>125589</xdr:colOff>
      <xdr:row>20</xdr:row>
      <xdr:rowOff>89464</xdr:rowOff>
    </xdr:to>
    <xdr:grpSp>
      <xdr:nvGrpSpPr>
        <xdr:cNvPr id="372" name="Group 371">
          <a:extLst>
            <a:ext uri="{FF2B5EF4-FFF2-40B4-BE49-F238E27FC236}">
              <a16:creationId xmlns:a16="http://schemas.microsoft.com/office/drawing/2014/main" id="{00000000-0008-0000-0000-000074010000}"/>
            </a:ext>
          </a:extLst>
        </xdr:cNvPr>
        <xdr:cNvGrpSpPr/>
      </xdr:nvGrpSpPr>
      <xdr:grpSpPr>
        <a:xfrm>
          <a:off x="6692462" y="2490954"/>
          <a:ext cx="637968" cy="220841"/>
          <a:chOff x="2969370" y="2499134"/>
          <a:chExt cx="579224" cy="227780"/>
        </a:xfrm>
      </xdr:grpSpPr>
      <xdr:sp macro="" textlink="">
        <xdr:nvSpPr>
          <xdr:cNvPr id="373" name="Text Box 2">
            <a:extLst>
              <a:ext uri="{FF2B5EF4-FFF2-40B4-BE49-F238E27FC236}">
                <a16:creationId xmlns:a16="http://schemas.microsoft.com/office/drawing/2014/main" id="{00000000-0008-0000-0000-000075010000}"/>
              </a:ext>
            </a:extLst>
          </xdr:cNvPr>
          <xdr:cNvSpPr txBox="1">
            <a:spLocks noChangeArrowheads="1"/>
          </xdr:cNvSpPr>
        </xdr:nvSpPr>
        <xdr:spPr bwMode="auto">
          <a:xfrm>
            <a:off x="2969370" y="2499134"/>
            <a:ext cx="579224" cy="227780"/>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374" name="Straight Connector 373">
            <a:extLst>
              <a:ext uri="{FF2B5EF4-FFF2-40B4-BE49-F238E27FC236}">
                <a16:creationId xmlns:a16="http://schemas.microsoft.com/office/drawing/2014/main" id="{00000000-0008-0000-0000-000076010000}"/>
              </a:ext>
            </a:extLst>
          </xdr:cNvPr>
          <xdr:cNvCxnSpPr/>
        </xdr:nvCxnSpPr>
        <xdr:spPr>
          <a:xfrm>
            <a:off x="3108781" y="2635443"/>
            <a:ext cx="0" cy="90382"/>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75" name="Straight Connector 374">
            <a:extLst>
              <a:ext uri="{FF2B5EF4-FFF2-40B4-BE49-F238E27FC236}">
                <a16:creationId xmlns:a16="http://schemas.microsoft.com/office/drawing/2014/main" id="{00000000-0008-0000-0000-000077010000}"/>
              </a:ext>
            </a:extLst>
          </xdr:cNvPr>
          <xdr:cNvCxnSpPr/>
        </xdr:nvCxnSpPr>
        <xdr:spPr>
          <a:xfrm>
            <a:off x="3264335" y="2635438"/>
            <a:ext cx="0" cy="90382"/>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76" name="Straight Connector 375">
            <a:extLst>
              <a:ext uri="{FF2B5EF4-FFF2-40B4-BE49-F238E27FC236}">
                <a16:creationId xmlns:a16="http://schemas.microsoft.com/office/drawing/2014/main" id="{00000000-0008-0000-0000-000078010000}"/>
              </a:ext>
            </a:extLst>
          </xdr:cNvPr>
          <xdr:cNvCxnSpPr/>
        </xdr:nvCxnSpPr>
        <xdr:spPr>
          <a:xfrm>
            <a:off x="3417621" y="2630100"/>
            <a:ext cx="0" cy="90382"/>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xdr:col>
      <xdr:colOff>26276</xdr:colOff>
      <xdr:row>22</xdr:row>
      <xdr:rowOff>0</xdr:rowOff>
    </xdr:from>
    <xdr:to>
      <xdr:col>39</xdr:col>
      <xdr:colOff>118242</xdr:colOff>
      <xdr:row>23</xdr:row>
      <xdr:rowOff>90483</xdr:rowOff>
    </xdr:to>
    <xdr:sp macro="" textlink="">
      <xdr:nvSpPr>
        <xdr:cNvPr id="377" name="Text Box 2">
          <a:extLst>
            <a:ext uri="{FF2B5EF4-FFF2-40B4-BE49-F238E27FC236}">
              <a16:creationId xmlns:a16="http://schemas.microsoft.com/office/drawing/2014/main" id="{00000000-0008-0000-0000-000079010000}"/>
            </a:ext>
          </a:extLst>
        </xdr:cNvPr>
        <xdr:cNvSpPr txBox="1">
          <a:spLocks noChangeArrowheads="1"/>
        </xdr:cNvSpPr>
      </xdr:nvSpPr>
      <xdr:spPr bwMode="auto">
        <a:xfrm>
          <a:off x="210207" y="2844362"/>
          <a:ext cx="7107621" cy="221862"/>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1</xdr:col>
      <xdr:colOff>19706</xdr:colOff>
      <xdr:row>28</xdr:row>
      <xdr:rowOff>0</xdr:rowOff>
    </xdr:from>
    <xdr:to>
      <xdr:col>39</xdr:col>
      <xdr:colOff>131378</xdr:colOff>
      <xdr:row>29</xdr:row>
      <xdr:rowOff>90482</xdr:rowOff>
    </xdr:to>
    <xdr:sp macro="" textlink="">
      <xdr:nvSpPr>
        <xdr:cNvPr id="403" name="Text Box 2">
          <a:extLst>
            <a:ext uri="{FF2B5EF4-FFF2-40B4-BE49-F238E27FC236}">
              <a16:creationId xmlns:a16="http://schemas.microsoft.com/office/drawing/2014/main" id="{00000000-0008-0000-0000-000093010000}"/>
            </a:ext>
          </a:extLst>
        </xdr:cNvPr>
        <xdr:cNvSpPr txBox="1">
          <a:spLocks noChangeArrowheads="1"/>
        </xdr:cNvSpPr>
      </xdr:nvSpPr>
      <xdr:spPr bwMode="auto">
        <a:xfrm>
          <a:off x="203637" y="2056086"/>
          <a:ext cx="7127327" cy="221862"/>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r>
            <a:rPr lang="en-US" sz="1100">
              <a:effectLst/>
              <a:latin typeface="Times New Roman" panose="02020603050405020304" pitchFamily="18" charset="0"/>
              <a:ea typeface="Times New Roman" panose="02020603050405020304" pitchFamily="18" charset="0"/>
            </a:rPr>
            <a:t>ORIENTAL CONSULTANTS GLOBAL CO. LTD. - PHILIPPINE BRANCH</a:t>
          </a:r>
        </a:p>
      </xdr:txBody>
    </xdr:sp>
    <xdr:clientData/>
  </xdr:twoCellAnchor>
  <xdr:twoCellAnchor>
    <xdr:from>
      <xdr:col>1</xdr:col>
      <xdr:colOff>26276</xdr:colOff>
      <xdr:row>31</xdr:row>
      <xdr:rowOff>0</xdr:rowOff>
    </xdr:from>
    <xdr:to>
      <xdr:col>35</xdr:col>
      <xdr:colOff>151086</xdr:colOff>
      <xdr:row>32</xdr:row>
      <xdr:rowOff>90483</xdr:rowOff>
    </xdr:to>
    <xdr:sp macro="" textlink="">
      <xdr:nvSpPr>
        <xdr:cNvPr id="404" name="Text Box 2">
          <a:extLst>
            <a:ext uri="{FF2B5EF4-FFF2-40B4-BE49-F238E27FC236}">
              <a16:creationId xmlns:a16="http://schemas.microsoft.com/office/drawing/2014/main" id="{00000000-0008-0000-0000-000094010000}"/>
            </a:ext>
          </a:extLst>
        </xdr:cNvPr>
        <xdr:cNvSpPr txBox="1">
          <a:spLocks noChangeArrowheads="1"/>
        </xdr:cNvSpPr>
      </xdr:nvSpPr>
      <xdr:spPr bwMode="auto">
        <a:xfrm>
          <a:off x="210207" y="2450224"/>
          <a:ext cx="6404741" cy="221862"/>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r>
            <a:rPr lang="en-US" sz="1000">
              <a:effectLst/>
              <a:latin typeface="Times New Roman" panose="02020603050405020304" pitchFamily="18" charset="0"/>
              <a:ea typeface="Times New Roman" panose="02020603050405020304" pitchFamily="18" charset="0"/>
            </a:rPr>
            <a:t>UNIT 38C RUFINO PACIFIC TOWER, 6784 AYALA AVE., BRGY. SAN LORENZO, 4TH DIST., MAKATI CITY</a:t>
          </a:r>
        </a:p>
      </xdr:txBody>
    </xdr:sp>
    <xdr:clientData/>
  </xdr:twoCellAnchor>
  <xdr:twoCellAnchor>
    <xdr:from>
      <xdr:col>36</xdr:col>
      <xdr:colOff>39414</xdr:colOff>
      <xdr:row>31</xdr:row>
      <xdr:rowOff>2</xdr:rowOff>
    </xdr:from>
    <xdr:to>
      <xdr:col>39</xdr:col>
      <xdr:colOff>125589</xdr:colOff>
      <xdr:row>32</xdr:row>
      <xdr:rowOff>89464</xdr:rowOff>
    </xdr:to>
    <xdr:grpSp>
      <xdr:nvGrpSpPr>
        <xdr:cNvPr id="405" name="Group 404">
          <a:extLst>
            <a:ext uri="{FF2B5EF4-FFF2-40B4-BE49-F238E27FC236}">
              <a16:creationId xmlns:a16="http://schemas.microsoft.com/office/drawing/2014/main" id="{00000000-0008-0000-0000-000095010000}"/>
            </a:ext>
          </a:extLst>
        </xdr:cNvPr>
        <xdr:cNvGrpSpPr/>
      </xdr:nvGrpSpPr>
      <xdr:grpSpPr>
        <a:xfrm>
          <a:off x="6692462" y="4078016"/>
          <a:ext cx="637968" cy="220841"/>
          <a:chOff x="2969370" y="2499134"/>
          <a:chExt cx="579224" cy="227780"/>
        </a:xfrm>
      </xdr:grpSpPr>
      <xdr:sp macro="" textlink="">
        <xdr:nvSpPr>
          <xdr:cNvPr id="406" name="Text Box 2">
            <a:extLst>
              <a:ext uri="{FF2B5EF4-FFF2-40B4-BE49-F238E27FC236}">
                <a16:creationId xmlns:a16="http://schemas.microsoft.com/office/drawing/2014/main" id="{00000000-0008-0000-0000-000096010000}"/>
              </a:ext>
            </a:extLst>
          </xdr:cNvPr>
          <xdr:cNvSpPr txBox="1">
            <a:spLocks noChangeArrowheads="1"/>
          </xdr:cNvSpPr>
        </xdr:nvSpPr>
        <xdr:spPr bwMode="auto">
          <a:xfrm>
            <a:off x="2969370" y="2499134"/>
            <a:ext cx="579224" cy="227780"/>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b" anchorCtr="0">
            <a:noAutofit/>
          </a:bodyPr>
          <a:lstStyle/>
          <a:p>
            <a:pPr marL="0" marR="0">
              <a:spcBef>
                <a:spcPts val="0"/>
              </a:spcBef>
              <a:spcAft>
                <a:spcPts val="0"/>
              </a:spcAft>
            </a:pPr>
            <a:r>
              <a:rPr lang="en-US" sz="1100">
                <a:effectLst/>
                <a:latin typeface="Times New Roman" panose="02020603050405020304" pitchFamily="18" charset="0"/>
                <a:ea typeface="Times New Roman" panose="02020603050405020304" pitchFamily="18" charset="0"/>
              </a:rPr>
              <a:t>1 2  2  3</a:t>
            </a:r>
          </a:p>
        </xdr:txBody>
      </xdr:sp>
      <xdr:cxnSp macro="">
        <xdr:nvCxnSpPr>
          <xdr:cNvPr id="407" name="Straight Connector 406">
            <a:extLst>
              <a:ext uri="{FF2B5EF4-FFF2-40B4-BE49-F238E27FC236}">
                <a16:creationId xmlns:a16="http://schemas.microsoft.com/office/drawing/2014/main" id="{00000000-0008-0000-0000-000097010000}"/>
              </a:ext>
            </a:extLst>
          </xdr:cNvPr>
          <xdr:cNvCxnSpPr/>
        </xdr:nvCxnSpPr>
        <xdr:spPr>
          <a:xfrm>
            <a:off x="3108781" y="2635443"/>
            <a:ext cx="0" cy="90382"/>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08" name="Straight Connector 407">
            <a:extLst>
              <a:ext uri="{FF2B5EF4-FFF2-40B4-BE49-F238E27FC236}">
                <a16:creationId xmlns:a16="http://schemas.microsoft.com/office/drawing/2014/main" id="{00000000-0008-0000-0000-000098010000}"/>
              </a:ext>
            </a:extLst>
          </xdr:cNvPr>
          <xdr:cNvCxnSpPr/>
        </xdr:nvCxnSpPr>
        <xdr:spPr>
          <a:xfrm>
            <a:off x="3264335" y="2635438"/>
            <a:ext cx="0" cy="90382"/>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09" name="Straight Connector 408">
            <a:extLst>
              <a:ext uri="{FF2B5EF4-FFF2-40B4-BE49-F238E27FC236}">
                <a16:creationId xmlns:a16="http://schemas.microsoft.com/office/drawing/2014/main" id="{00000000-0008-0000-0000-000099010000}"/>
              </a:ext>
            </a:extLst>
          </xdr:cNvPr>
          <xdr:cNvCxnSpPr/>
        </xdr:nvCxnSpPr>
        <xdr:spPr>
          <a:xfrm>
            <a:off x="3417621" y="2630100"/>
            <a:ext cx="0" cy="90382"/>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32</xdr:col>
      <xdr:colOff>77702</xdr:colOff>
      <xdr:row>67</xdr:row>
      <xdr:rowOff>34648</xdr:rowOff>
    </xdr:from>
    <xdr:to>
      <xdr:col>39</xdr:col>
      <xdr:colOff>134290</xdr:colOff>
      <xdr:row>68</xdr:row>
      <xdr:rowOff>116103</xdr:rowOff>
    </xdr:to>
    <xdr:grpSp>
      <xdr:nvGrpSpPr>
        <xdr:cNvPr id="412" name="Group 411">
          <a:extLst>
            <a:ext uri="{FF2B5EF4-FFF2-40B4-BE49-F238E27FC236}">
              <a16:creationId xmlns:a16="http://schemas.microsoft.com/office/drawing/2014/main" id="{00000000-0008-0000-0000-00009C010000}"/>
            </a:ext>
          </a:extLst>
        </xdr:cNvPr>
        <xdr:cNvGrpSpPr/>
      </xdr:nvGrpSpPr>
      <xdr:grpSpPr>
        <a:xfrm>
          <a:off x="5995026" y="10492441"/>
          <a:ext cx="1344105" cy="218090"/>
          <a:chOff x="198045" y="3663821"/>
          <a:chExt cx="1310870" cy="227822"/>
        </a:xfrm>
      </xdr:grpSpPr>
      <xdr:grpSp>
        <xdr:nvGrpSpPr>
          <xdr:cNvPr id="413" name="Group 412">
            <a:extLst>
              <a:ext uri="{FF2B5EF4-FFF2-40B4-BE49-F238E27FC236}">
                <a16:creationId xmlns:a16="http://schemas.microsoft.com/office/drawing/2014/main" id="{00000000-0008-0000-0000-00009D010000}"/>
              </a:ext>
            </a:extLst>
          </xdr:cNvPr>
          <xdr:cNvGrpSpPr/>
        </xdr:nvGrpSpPr>
        <xdr:grpSpPr>
          <a:xfrm>
            <a:off x="198045" y="3663821"/>
            <a:ext cx="655434" cy="227822"/>
            <a:chOff x="1509155" y="1738004"/>
            <a:chExt cx="909204" cy="228600"/>
          </a:xfrm>
          <a:solidFill>
            <a:sysClr val="window" lastClr="FFFFFF"/>
          </a:solidFill>
        </xdr:grpSpPr>
        <xdr:sp macro="" textlink="">
          <xdr:nvSpPr>
            <xdr:cNvPr id="419" name="Text Box 2">
              <a:extLst>
                <a:ext uri="{FF2B5EF4-FFF2-40B4-BE49-F238E27FC236}">
                  <a16:creationId xmlns:a16="http://schemas.microsoft.com/office/drawing/2014/main" id="{00000000-0008-0000-0000-0000A3010000}"/>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20" name="Straight Connector 419">
              <a:extLst>
                <a:ext uri="{FF2B5EF4-FFF2-40B4-BE49-F238E27FC236}">
                  <a16:creationId xmlns:a16="http://schemas.microsoft.com/office/drawing/2014/main" id="{00000000-0008-0000-0000-0000A401000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21" name="Straight Connector 420">
              <a:extLst>
                <a:ext uri="{FF2B5EF4-FFF2-40B4-BE49-F238E27FC236}">
                  <a16:creationId xmlns:a16="http://schemas.microsoft.com/office/drawing/2014/main" id="{00000000-0008-0000-0000-0000A5010000}"/>
                </a:ext>
              </a:extLst>
            </xdr:cNvPr>
            <xdr:cNvCxnSpPr>
              <a:stCxn id="419"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22" name="Straight Connector 421">
              <a:extLst>
                <a:ext uri="{FF2B5EF4-FFF2-40B4-BE49-F238E27FC236}">
                  <a16:creationId xmlns:a16="http://schemas.microsoft.com/office/drawing/2014/main" id="{00000000-0008-0000-0000-0000A6010000}"/>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414" name="Group 413">
            <a:extLst>
              <a:ext uri="{FF2B5EF4-FFF2-40B4-BE49-F238E27FC236}">
                <a16:creationId xmlns:a16="http://schemas.microsoft.com/office/drawing/2014/main" id="{00000000-0008-0000-0000-00009E010000}"/>
              </a:ext>
            </a:extLst>
          </xdr:cNvPr>
          <xdr:cNvGrpSpPr/>
        </xdr:nvGrpSpPr>
        <xdr:grpSpPr>
          <a:xfrm>
            <a:off x="853481" y="3663821"/>
            <a:ext cx="655434" cy="227822"/>
            <a:chOff x="1509155" y="1738004"/>
            <a:chExt cx="909204" cy="228600"/>
          </a:xfrm>
          <a:solidFill>
            <a:sysClr val="window" lastClr="FFFFFF"/>
          </a:solidFill>
        </xdr:grpSpPr>
        <xdr:sp macro="" textlink="">
          <xdr:nvSpPr>
            <xdr:cNvPr id="415" name="Text Box 2">
              <a:extLst>
                <a:ext uri="{FF2B5EF4-FFF2-40B4-BE49-F238E27FC236}">
                  <a16:creationId xmlns:a16="http://schemas.microsoft.com/office/drawing/2014/main" id="{00000000-0008-0000-0000-00009F010000}"/>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16" name="Straight Connector 415">
              <a:extLst>
                <a:ext uri="{FF2B5EF4-FFF2-40B4-BE49-F238E27FC236}">
                  <a16:creationId xmlns:a16="http://schemas.microsoft.com/office/drawing/2014/main" id="{00000000-0008-0000-0000-0000A001000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17" name="Straight Connector 416">
              <a:extLst>
                <a:ext uri="{FF2B5EF4-FFF2-40B4-BE49-F238E27FC236}">
                  <a16:creationId xmlns:a16="http://schemas.microsoft.com/office/drawing/2014/main" id="{00000000-0008-0000-0000-0000A1010000}"/>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18" name="Straight Connector 417">
              <a:extLst>
                <a:ext uri="{FF2B5EF4-FFF2-40B4-BE49-F238E27FC236}">
                  <a16:creationId xmlns:a16="http://schemas.microsoft.com/office/drawing/2014/main" id="{00000000-0008-0000-0000-0000A2010000}"/>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20</xdr:col>
      <xdr:colOff>109607</xdr:colOff>
      <xdr:row>67</xdr:row>
      <xdr:rowOff>34645</xdr:rowOff>
    </xdr:from>
    <xdr:to>
      <xdr:col>27</xdr:col>
      <xdr:colOff>161878</xdr:colOff>
      <xdr:row>68</xdr:row>
      <xdr:rowOff>116101</xdr:rowOff>
    </xdr:to>
    <xdr:grpSp>
      <xdr:nvGrpSpPr>
        <xdr:cNvPr id="423" name="Group 422">
          <a:extLst>
            <a:ext uri="{FF2B5EF4-FFF2-40B4-BE49-F238E27FC236}">
              <a16:creationId xmlns:a16="http://schemas.microsoft.com/office/drawing/2014/main" id="{00000000-0008-0000-0000-0000A7010000}"/>
            </a:ext>
          </a:extLst>
        </xdr:cNvPr>
        <xdr:cNvGrpSpPr/>
      </xdr:nvGrpSpPr>
      <xdr:grpSpPr>
        <a:xfrm>
          <a:off x="3819759" y="10492438"/>
          <a:ext cx="1339788" cy="218091"/>
          <a:chOff x="198045" y="3663821"/>
          <a:chExt cx="1310870" cy="227822"/>
        </a:xfrm>
      </xdr:grpSpPr>
      <xdr:grpSp>
        <xdr:nvGrpSpPr>
          <xdr:cNvPr id="424" name="Group 423">
            <a:extLst>
              <a:ext uri="{FF2B5EF4-FFF2-40B4-BE49-F238E27FC236}">
                <a16:creationId xmlns:a16="http://schemas.microsoft.com/office/drawing/2014/main" id="{00000000-0008-0000-0000-0000A8010000}"/>
              </a:ext>
            </a:extLst>
          </xdr:cNvPr>
          <xdr:cNvGrpSpPr/>
        </xdr:nvGrpSpPr>
        <xdr:grpSpPr>
          <a:xfrm>
            <a:off x="198045" y="3663821"/>
            <a:ext cx="655434" cy="227822"/>
            <a:chOff x="1509155" y="1738004"/>
            <a:chExt cx="909204" cy="228600"/>
          </a:xfrm>
          <a:solidFill>
            <a:sysClr val="window" lastClr="FFFFFF"/>
          </a:solidFill>
        </xdr:grpSpPr>
        <xdr:sp macro="" textlink="">
          <xdr:nvSpPr>
            <xdr:cNvPr id="430" name="Text Box 2">
              <a:extLst>
                <a:ext uri="{FF2B5EF4-FFF2-40B4-BE49-F238E27FC236}">
                  <a16:creationId xmlns:a16="http://schemas.microsoft.com/office/drawing/2014/main" id="{00000000-0008-0000-0000-0000AE010000}"/>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31" name="Straight Connector 430">
              <a:extLst>
                <a:ext uri="{FF2B5EF4-FFF2-40B4-BE49-F238E27FC236}">
                  <a16:creationId xmlns:a16="http://schemas.microsoft.com/office/drawing/2014/main" id="{00000000-0008-0000-0000-0000AF01000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32" name="Straight Connector 431">
              <a:extLst>
                <a:ext uri="{FF2B5EF4-FFF2-40B4-BE49-F238E27FC236}">
                  <a16:creationId xmlns:a16="http://schemas.microsoft.com/office/drawing/2014/main" id="{00000000-0008-0000-0000-0000B0010000}"/>
                </a:ext>
              </a:extLst>
            </xdr:cNvPr>
            <xdr:cNvCxnSpPr>
              <a:stCxn id="430"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33" name="Straight Connector 432">
              <a:extLst>
                <a:ext uri="{FF2B5EF4-FFF2-40B4-BE49-F238E27FC236}">
                  <a16:creationId xmlns:a16="http://schemas.microsoft.com/office/drawing/2014/main" id="{00000000-0008-0000-0000-0000B1010000}"/>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425" name="Group 424">
            <a:extLst>
              <a:ext uri="{FF2B5EF4-FFF2-40B4-BE49-F238E27FC236}">
                <a16:creationId xmlns:a16="http://schemas.microsoft.com/office/drawing/2014/main" id="{00000000-0008-0000-0000-0000A9010000}"/>
              </a:ext>
            </a:extLst>
          </xdr:cNvPr>
          <xdr:cNvGrpSpPr/>
        </xdr:nvGrpSpPr>
        <xdr:grpSpPr>
          <a:xfrm>
            <a:off x="853481" y="3663821"/>
            <a:ext cx="655434" cy="227822"/>
            <a:chOff x="1509155" y="1738004"/>
            <a:chExt cx="909204" cy="228600"/>
          </a:xfrm>
          <a:solidFill>
            <a:sysClr val="window" lastClr="FFFFFF"/>
          </a:solidFill>
        </xdr:grpSpPr>
        <xdr:sp macro="" textlink="">
          <xdr:nvSpPr>
            <xdr:cNvPr id="426" name="Text Box 2">
              <a:extLst>
                <a:ext uri="{FF2B5EF4-FFF2-40B4-BE49-F238E27FC236}">
                  <a16:creationId xmlns:a16="http://schemas.microsoft.com/office/drawing/2014/main" id="{00000000-0008-0000-0000-0000AA010000}"/>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27" name="Straight Connector 426">
              <a:extLst>
                <a:ext uri="{FF2B5EF4-FFF2-40B4-BE49-F238E27FC236}">
                  <a16:creationId xmlns:a16="http://schemas.microsoft.com/office/drawing/2014/main" id="{00000000-0008-0000-0000-0000AB01000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28" name="Straight Connector 427">
              <a:extLst>
                <a:ext uri="{FF2B5EF4-FFF2-40B4-BE49-F238E27FC236}">
                  <a16:creationId xmlns:a16="http://schemas.microsoft.com/office/drawing/2014/main" id="{00000000-0008-0000-0000-0000AC010000}"/>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29" name="Straight Connector 428">
              <a:extLst>
                <a:ext uri="{FF2B5EF4-FFF2-40B4-BE49-F238E27FC236}">
                  <a16:creationId xmlns:a16="http://schemas.microsoft.com/office/drawing/2014/main" id="{00000000-0008-0000-0000-0000AD010000}"/>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8</xdr:col>
      <xdr:colOff>25260</xdr:colOff>
      <xdr:row>67</xdr:row>
      <xdr:rowOff>34646</xdr:rowOff>
    </xdr:from>
    <xdr:to>
      <xdr:col>16</xdr:col>
      <xdr:colOff>118458</xdr:colOff>
      <xdr:row>68</xdr:row>
      <xdr:rowOff>118347</xdr:rowOff>
    </xdr:to>
    <xdr:sp macro="" textlink="">
      <xdr:nvSpPr>
        <xdr:cNvPr id="434" name="Text Box 2">
          <a:extLst>
            <a:ext uri="{FF2B5EF4-FFF2-40B4-BE49-F238E27FC236}">
              <a16:creationId xmlns:a16="http://schemas.microsoft.com/office/drawing/2014/main" id="{00000000-0008-0000-0000-0000B2010000}"/>
            </a:ext>
          </a:extLst>
        </xdr:cNvPr>
        <xdr:cNvSpPr txBox="1">
          <a:spLocks noChangeArrowheads="1"/>
        </xdr:cNvSpPr>
      </xdr:nvSpPr>
      <xdr:spPr bwMode="auto">
        <a:xfrm>
          <a:off x="1484409" y="10625635"/>
          <a:ext cx="1552347" cy="225563"/>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32</xdr:col>
      <xdr:colOff>78828</xdr:colOff>
      <xdr:row>75</xdr:row>
      <xdr:rowOff>34646</xdr:rowOff>
    </xdr:from>
    <xdr:to>
      <xdr:col>39</xdr:col>
      <xdr:colOff>135416</xdr:colOff>
      <xdr:row>76</xdr:row>
      <xdr:rowOff>116103</xdr:rowOff>
    </xdr:to>
    <xdr:grpSp>
      <xdr:nvGrpSpPr>
        <xdr:cNvPr id="435" name="Group 434">
          <a:extLst>
            <a:ext uri="{FF2B5EF4-FFF2-40B4-BE49-F238E27FC236}">
              <a16:creationId xmlns:a16="http://schemas.microsoft.com/office/drawing/2014/main" id="{00000000-0008-0000-0000-0000B3010000}"/>
            </a:ext>
          </a:extLst>
        </xdr:cNvPr>
        <xdr:cNvGrpSpPr/>
      </xdr:nvGrpSpPr>
      <xdr:grpSpPr>
        <a:xfrm>
          <a:off x="5996152" y="11553984"/>
          <a:ext cx="1344105" cy="218091"/>
          <a:chOff x="198045" y="3663821"/>
          <a:chExt cx="1310870" cy="227822"/>
        </a:xfrm>
      </xdr:grpSpPr>
      <xdr:grpSp>
        <xdr:nvGrpSpPr>
          <xdr:cNvPr id="436" name="Group 435">
            <a:extLst>
              <a:ext uri="{FF2B5EF4-FFF2-40B4-BE49-F238E27FC236}">
                <a16:creationId xmlns:a16="http://schemas.microsoft.com/office/drawing/2014/main" id="{00000000-0008-0000-0000-0000B4010000}"/>
              </a:ext>
            </a:extLst>
          </xdr:cNvPr>
          <xdr:cNvGrpSpPr/>
        </xdr:nvGrpSpPr>
        <xdr:grpSpPr>
          <a:xfrm>
            <a:off x="198045" y="3663821"/>
            <a:ext cx="655434" cy="227822"/>
            <a:chOff x="1509155" y="1738004"/>
            <a:chExt cx="909204" cy="228600"/>
          </a:xfrm>
          <a:solidFill>
            <a:sysClr val="window" lastClr="FFFFFF"/>
          </a:solidFill>
        </xdr:grpSpPr>
        <xdr:sp macro="" textlink="">
          <xdr:nvSpPr>
            <xdr:cNvPr id="442" name="Text Box 2">
              <a:extLst>
                <a:ext uri="{FF2B5EF4-FFF2-40B4-BE49-F238E27FC236}">
                  <a16:creationId xmlns:a16="http://schemas.microsoft.com/office/drawing/2014/main" id="{00000000-0008-0000-0000-0000BA010000}"/>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43" name="Straight Connector 442">
              <a:extLst>
                <a:ext uri="{FF2B5EF4-FFF2-40B4-BE49-F238E27FC236}">
                  <a16:creationId xmlns:a16="http://schemas.microsoft.com/office/drawing/2014/main" id="{00000000-0008-0000-0000-0000BB01000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44" name="Straight Connector 443">
              <a:extLst>
                <a:ext uri="{FF2B5EF4-FFF2-40B4-BE49-F238E27FC236}">
                  <a16:creationId xmlns:a16="http://schemas.microsoft.com/office/drawing/2014/main" id="{00000000-0008-0000-0000-0000BC010000}"/>
                </a:ext>
              </a:extLst>
            </xdr:cNvPr>
            <xdr:cNvCxnSpPr>
              <a:stCxn id="442"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45" name="Straight Connector 444">
              <a:extLst>
                <a:ext uri="{FF2B5EF4-FFF2-40B4-BE49-F238E27FC236}">
                  <a16:creationId xmlns:a16="http://schemas.microsoft.com/office/drawing/2014/main" id="{00000000-0008-0000-0000-0000BD010000}"/>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437" name="Group 436">
            <a:extLst>
              <a:ext uri="{FF2B5EF4-FFF2-40B4-BE49-F238E27FC236}">
                <a16:creationId xmlns:a16="http://schemas.microsoft.com/office/drawing/2014/main" id="{00000000-0008-0000-0000-0000B5010000}"/>
              </a:ext>
            </a:extLst>
          </xdr:cNvPr>
          <xdr:cNvGrpSpPr/>
        </xdr:nvGrpSpPr>
        <xdr:grpSpPr>
          <a:xfrm>
            <a:off x="853481" y="3663821"/>
            <a:ext cx="655434" cy="227822"/>
            <a:chOff x="1509155" y="1738004"/>
            <a:chExt cx="909204" cy="228600"/>
          </a:xfrm>
          <a:solidFill>
            <a:sysClr val="window" lastClr="FFFFFF"/>
          </a:solidFill>
        </xdr:grpSpPr>
        <xdr:sp macro="" textlink="">
          <xdr:nvSpPr>
            <xdr:cNvPr id="438" name="Text Box 2">
              <a:extLst>
                <a:ext uri="{FF2B5EF4-FFF2-40B4-BE49-F238E27FC236}">
                  <a16:creationId xmlns:a16="http://schemas.microsoft.com/office/drawing/2014/main" id="{00000000-0008-0000-0000-0000B6010000}"/>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39" name="Straight Connector 438">
              <a:extLst>
                <a:ext uri="{FF2B5EF4-FFF2-40B4-BE49-F238E27FC236}">
                  <a16:creationId xmlns:a16="http://schemas.microsoft.com/office/drawing/2014/main" id="{00000000-0008-0000-0000-0000B701000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40" name="Straight Connector 439">
              <a:extLst>
                <a:ext uri="{FF2B5EF4-FFF2-40B4-BE49-F238E27FC236}">
                  <a16:creationId xmlns:a16="http://schemas.microsoft.com/office/drawing/2014/main" id="{00000000-0008-0000-0000-0000B8010000}"/>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41" name="Straight Connector 440">
              <a:extLst>
                <a:ext uri="{FF2B5EF4-FFF2-40B4-BE49-F238E27FC236}">
                  <a16:creationId xmlns:a16="http://schemas.microsoft.com/office/drawing/2014/main" id="{00000000-0008-0000-0000-0000B9010000}"/>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20</xdr:col>
      <xdr:colOff>110733</xdr:colOff>
      <xdr:row>75</xdr:row>
      <xdr:rowOff>34645</xdr:rowOff>
    </xdr:from>
    <xdr:to>
      <xdr:col>27</xdr:col>
      <xdr:colOff>163004</xdr:colOff>
      <xdr:row>76</xdr:row>
      <xdr:rowOff>116102</xdr:rowOff>
    </xdr:to>
    <xdr:grpSp>
      <xdr:nvGrpSpPr>
        <xdr:cNvPr id="446" name="Group 445">
          <a:extLst>
            <a:ext uri="{FF2B5EF4-FFF2-40B4-BE49-F238E27FC236}">
              <a16:creationId xmlns:a16="http://schemas.microsoft.com/office/drawing/2014/main" id="{00000000-0008-0000-0000-0000BE010000}"/>
            </a:ext>
          </a:extLst>
        </xdr:cNvPr>
        <xdr:cNvGrpSpPr/>
      </xdr:nvGrpSpPr>
      <xdr:grpSpPr>
        <a:xfrm>
          <a:off x="3820885" y="11553983"/>
          <a:ext cx="1339788" cy="218091"/>
          <a:chOff x="198045" y="3663821"/>
          <a:chExt cx="1310870" cy="227822"/>
        </a:xfrm>
      </xdr:grpSpPr>
      <xdr:grpSp>
        <xdr:nvGrpSpPr>
          <xdr:cNvPr id="447" name="Group 446">
            <a:extLst>
              <a:ext uri="{FF2B5EF4-FFF2-40B4-BE49-F238E27FC236}">
                <a16:creationId xmlns:a16="http://schemas.microsoft.com/office/drawing/2014/main" id="{00000000-0008-0000-0000-0000BF010000}"/>
              </a:ext>
            </a:extLst>
          </xdr:cNvPr>
          <xdr:cNvGrpSpPr/>
        </xdr:nvGrpSpPr>
        <xdr:grpSpPr>
          <a:xfrm>
            <a:off x="198045" y="3663821"/>
            <a:ext cx="655434" cy="227822"/>
            <a:chOff x="1509155" y="1738004"/>
            <a:chExt cx="909204" cy="228600"/>
          </a:xfrm>
          <a:solidFill>
            <a:sysClr val="window" lastClr="FFFFFF"/>
          </a:solidFill>
        </xdr:grpSpPr>
        <xdr:sp macro="" textlink="">
          <xdr:nvSpPr>
            <xdr:cNvPr id="453" name="Text Box 2">
              <a:extLst>
                <a:ext uri="{FF2B5EF4-FFF2-40B4-BE49-F238E27FC236}">
                  <a16:creationId xmlns:a16="http://schemas.microsoft.com/office/drawing/2014/main" id="{00000000-0008-0000-0000-0000C5010000}"/>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54" name="Straight Connector 453">
              <a:extLst>
                <a:ext uri="{FF2B5EF4-FFF2-40B4-BE49-F238E27FC236}">
                  <a16:creationId xmlns:a16="http://schemas.microsoft.com/office/drawing/2014/main" id="{00000000-0008-0000-0000-0000C601000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55" name="Straight Connector 454">
              <a:extLst>
                <a:ext uri="{FF2B5EF4-FFF2-40B4-BE49-F238E27FC236}">
                  <a16:creationId xmlns:a16="http://schemas.microsoft.com/office/drawing/2014/main" id="{00000000-0008-0000-0000-0000C7010000}"/>
                </a:ext>
              </a:extLst>
            </xdr:cNvPr>
            <xdr:cNvCxnSpPr>
              <a:stCxn id="453"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56" name="Straight Connector 455">
              <a:extLst>
                <a:ext uri="{FF2B5EF4-FFF2-40B4-BE49-F238E27FC236}">
                  <a16:creationId xmlns:a16="http://schemas.microsoft.com/office/drawing/2014/main" id="{00000000-0008-0000-0000-0000C8010000}"/>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448" name="Group 447">
            <a:extLst>
              <a:ext uri="{FF2B5EF4-FFF2-40B4-BE49-F238E27FC236}">
                <a16:creationId xmlns:a16="http://schemas.microsoft.com/office/drawing/2014/main" id="{00000000-0008-0000-0000-0000C0010000}"/>
              </a:ext>
            </a:extLst>
          </xdr:cNvPr>
          <xdr:cNvGrpSpPr/>
        </xdr:nvGrpSpPr>
        <xdr:grpSpPr>
          <a:xfrm>
            <a:off x="853481" y="3663821"/>
            <a:ext cx="655434" cy="227822"/>
            <a:chOff x="1509155" y="1738004"/>
            <a:chExt cx="909204" cy="228600"/>
          </a:xfrm>
          <a:solidFill>
            <a:sysClr val="window" lastClr="FFFFFF"/>
          </a:solidFill>
        </xdr:grpSpPr>
        <xdr:sp macro="" textlink="">
          <xdr:nvSpPr>
            <xdr:cNvPr id="449" name="Text Box 2">
              <a:extLst>
                <a:ext uri="{FF2B5EF4-FFF2-40B4-BE49-F238E27FC236}">
                  <a16:creationId xmlns:a16="http://schemas.microsoft.com/office/drawing/2014/main" id="{00000000-0008-0000-0000-0000C1010000}"/>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50" name="Straight Connector 449">
              <a:extLst>
                <a:ext uri="{FF2B5EF4-FFF2-40B4-BE49-F238E27FC236}">
                  <a16:creationId xmlns:a16="http://schemas.microsoft.com/office/drawing/2014/main" id="{00000000-0008-0000-0000-0000C2010000}"/>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51" name="Straight Connector 450">
              <a:extLst>
                <a:ext uri="{FF2B5EF4-FFF2-40B4-BE49-F238E27FC236}">
                  <a16:creationId xmlns:a16="http://schemas.microsoft.com/office/drawing/2014/main" id="{00000000-0008-0000-0000-0000C3010000}"/>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52" name="Straight Connector 451">
              <a:extLst>
                <a:ext uri="{FF2B5EF4-FFF2-40B4-BE49-F238E27FC236}">
                  <a16:creationId xmlns:a16="http://schemas.microsoft.com/office/drawing/2014/main" id="{00000000-0008-0000-0000-0000C4010000}"/>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8</xdr:col>
      <xdr:colOff>25770</xdr:colOff>
      <xdr:row>75</xdr:row>
      <xdr:rowOff>34644</xdr:rowOff>
    </xdr:from>
    <xdr:to>
      <xdr:col>16</xdr:col>
      <xdr:colOff>118968</xdr:colOff>
      <xdr:row>76</xdr:row>
      <xdr:rowOff>118348</xdr:rowOff>
    </xdr:to>
    <xdr:sp macro="" textlink="">
      <xdr:nvSpPr>
        <xdr:cNvPr id="457" name="Text Box 2">
          <a:extLst>
            <a:ext uri="{FF2B5EF4-FFF2-40B4-BE49-F238E27FC236}">
              <a16:creationId xmlns:a16="http://schemas.microsoft.com/office/drawing/2014/main" id="{00000000-0008-0000-0000-0000C9010000}"/>
            </a:ext>
          </a:extLst>
        </xdr:cNvPr>
        <xdr:cNvSpPr txBox="1">
          <a:spLocks noChangeArrowheads="1"/>
        </xdr:cNvSpPr>
      </xdr:nvSpPr>
      <xdr:spPr bwMode="auto">
        <a:xfrm>
          <a:off x="1484919" y="11711889"/>
          <a:ext cx="1552347" cy="225565"/>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13</xdr:col>
      <xdr:colOff>34865</xdr:colOff>
      <xdr:row>25</xdr:row>
      <xdr:rowOff>40355</xdr:rowOff>
    </xdr:from>
    <xdr:to>
      <xdr:col>29</xdr:col>
      <xdr:colOff>47624</xdr:colOff>
      <xdr:row>26</xdr:row>
      <xdr:rowOff>123823</xdr:rowOff>
    </xdr:to>
    <xdr:grpSp>
      <xdr:nvGrpSpPr>
        <xdr:cNvPr id="9" name="Group 8">
          <a:extLst>
            <a:ext uri="{FF2B5EF4-FFF2-40B4-BE49-F238E27FC236}">
              <a16:creationId xmlns:a16="http://schemas.microsoft.com/office/drawing/2014/main" id="{00000000-0008-0000-0000-000009000000}"/>
            </a:ext>
          </a:extLst>
        </xdr:cNvPr>
        <xdr:cNvGrpSpPr/>
      </xdr:nvGrpSpPr>
      <xdr:grpSpPr>
        <a:xfrm>
          <a:off x="2425968" y="3319583"/>
          <a:ext cx="2987187" cy="220102"/>
          <a:chOff x="2371219" y="3343557"/>
          <a:chExt cx="2917770" cy="227251"/>
        </a:xfrm>
      </xdr:grpSpPr>
      <xdr:grpSp>
        <xdr:nvGrpSpPr>
          <xdr:cNvPr id="378" name="Group 377">
            <a:extLst>
              <a:ext uri="{FF2B5EF4-FFF2-40B4-BE49-F238E27FC236}">
                <a16:creationId xmlns:a16="http://schemas.microsoft.com/office/drawing/2014/main" id="{00000000-0008-0000-0000-00007A010000}"/>
              </a:ext>
            </a:extLst>
          </xdr:cNvPr>
          <xdr:cNvGrpSpPr/>
        </xdr:nvGrpSpPr>
        <xdr:grpSpPr>
          <a:xfrm>
            <a:off x="2861252" y="3343561"/>
            <a:ext cx="2427737" cy="227247"/>
            <a:chOff x="919351" y="1740145"/>
            <a:chExt cx="2470741" cy="230816"/>
          </a:xfrm>
        </xdr:grpSpPr>
        <xdr:sp macro="" textlink="">
          <xdr:nvSpPr>
            <xdr:cNvPr id="382" name="Text Box 2">
              <a:extLst>
                <a:ext uri="{FF2B5EF4-FFF2-40B4-BE49-F238E27FC236}">
                  <a16:creationId xmlns:a16="http://schemas.microsoft.com/office/drawing/2014/main" id="{00000000-0008-0000-0000-00007E010000}"/>
                </a:ext>
              </a:extLst>
            </xdr:cNvPr>
            <xdr:cNvSpPr txBox="1">
              <a:spLocks noChangeArrowheads="1"/>
            </xdr:cNvSpPr>
          </xdr:nvSpPr>
          <xdr:spPr bwMode="auto">
            <a:xfrm>
              <a:off x="919351" y="1740149"/>
              <a:ext cx="155698" cy="228600"/>
            </a:xfrm>
            <a:prstGeom prst="rect">
              <a:avLst/>
            </a:prstGeom>
            <a:solidFill>
              <a:schemeClr val="bg1">
                <a:lumMod val="65000"/>
              </a:schemeClr>
            </a:solidFill>
            <a:ln w="6350">
              <a:solidFill>
                <a:schemeClr val="tx1"/>
              </a:solidFill>
              <a:miter lim="800000"/>
              <a:headEnd/>
              <a:tailEnd/>
            </a:ln>
          </xdr:spPr>
          <xdr:txBody>
            <a:bodyPr rot="0" vert="horz" wrap="square" lIns="91440" tIns="45720" rIns="91440" bIns="45720" anchor="ctr" anchorCtr="0">
              <a:noAutofit/>
            </a:bodyPr>
            <a:lstStyle/>
            <a:p>
              <a:pPr marL="0" marR="0" algn="ctr">
                <a:spcBef>
                  <a:spcPts val="0"/>
                </a:spcBef>
                <a:spcAft>
                  <a:spcPts val="0"/>
                </a:spcAft>
              </a:pPr>
              <a:r>
                <a:rPr lang="en-US" sz="1200" b="1">
                  <a:effectLst/>
                  <a:latin typeface="Times New Roman" panose="02020603050405020304" pitchFamily="18" charset="0"/>
                  <a:ea typeface="Times New Roman" panose="02020603050405020304" pitchFamily="18" charset="0"/>
                </a:rPr>
                <a:t>-</a:t>
              </a:r>
            </a:p>
          </xdr:txBody>
        </xdr:sp>
        <xdr:sp macro="" textlink="">
          <xdr:nvSpPr>
            <xdr:cNvPr id="383" name="Text Box 2">
              <a:extLst>
                <a:ext uri="{FF2B5EF4-FFF2-40B4-BE49-F238E27FC236}">
                  <a16:creationId xmlns:a16="http://schemas.microsoft.com/office/drawing/2014/main" id="{00000000-0008-0000-0000-00007F010000}"/>
                </a:ext>
              </a:extLst>
            </xdr:cNvPr>
            <xdr:cNvSpPr txBox="1">
              <a:spLocks noChangeArrowheads="1"/>
            </xdr:cNvSpPr>
          </xdr:nvSpPr>
          <xdr:spPr bwMode="auto">
            <a:xfrm>
              <a:off x="1075046" y="1740145"/>
              <a:ext cx="503252" cy="228303"/>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b" anchorCtr="0">
              <a:noAutofit/>
            </a:bodyPr>
            <a:lstStyle/>
            <a:p>
              <a:pPr marL="0" marR="0">
                <a:spcBef>
                  <a:spcPts val="0"/>
                </a:spcBef>
                <a:spcAft>
                  <a:spcPts val="0"/>
                </a:spcAft>
              </a:pPr>
              <a:r>
                <a:rPr lang="en-US" sz="1100">
                  <a:effectLst/>
                  <a:latin typeface="Times New Roman" panose="02020603050405020304" pitchFamily="18" charset="0"/>
                  <a:ea typeface="Times New Roman" panose="02020603050405020304" pitchFamily="18" charset="0"/>
                </a:rPr>
                <a:t>4 8 4</a:t>
              </a:r>
            </a:p>
          </xdr:txBody>
        </xdr:sp>
        <xdr:cxnSp macro="">
          <xdr:nvCxnSpPr>
            <xdr:cNvPr id="384" name="Straight Connector 383">
              <a:extLst>
                <a:ext uri="{FF2B5EF4-FFF2-40B4-BE49-F238E27FC236}">
                  <a16:creationId xmlns:a16="http://schemas.microsoft.com/office/drawing/2014/main" id="{00000000-0008-0000-0000-000080010000}"/>
                </a:ext>
              </a:extLst>
            </xdr:cNvPr>
            <xdr:cNvCxnSpPr/>
          </xdr:nvCxnSpPr>
          <xdr:spPr>
            <a:xfrm>
              <a:off x="1229228" y="1875923"/>
              <a:ext cx="0" cy="91440"/>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85" name="Straight Connector 384">
              <a:extLst>
                <a:ext uri="{FF2B5EF4-FFF2-40B4-BE49-F238E27FC236}">
                  <a16:creationId xmlns:a16="http://schemas.microsoft.com/office/drawing/2014/main" id="{00000000-0008-0000-0000-000081010000}"/>
                </a:ext>
              </a:extLst>
            </xdr:cNvPr>
            <xdr:cNvCxnSpPr/>
          </xdr:nvCxnSpPr>
          <xdr:spPr>
            <a:xfrm>
              <a:off x="1399127" y="1875918"/>
              <a:ext cx="0" cy="91440"/>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sp macro="" textlink="">
          <xdr:nvSpPr>
            <xdr:cNvPr id="386" name="Text Box 2">
              <a:extLst>
                <a:ext uri="{FF2B5EF4-FFF2-40B4-BE49-F238E27FC236}">
                  <a16:creationId xmlns:a16="http://schemas.microsoft.com/office/drawing/2014/main" id="{00000000-0008-0000-0000-000082010000}"/>
                </a:ext>
              </a:extLst>
            </xdr:cNvPr>
            <xdr:cNvSpPr txBox="1">
              <a:spLocks noChangeArrowheads="1"/>
            </xdr:cNvSpPr>
          </xdr:nvSpPr>
          <xdr:spPr bwMode="auto">
            <a:xfrm>
              <a:off x="1572670" y="1740147"/>
              <a:ext cx="155698" cy="228600"/>
            </a:xfrm>
            <a:prstGeom prst="rect">
              <a:avLst/>
            </a:prstGeom>
            <a:solidFill>
              <a:schemeClr val="bg1">
                <a:lumMod val="65000"/>
              </a:schemeClr>
            </a:solidFill>
            <a:ln w="6350">
              <a:solidFill>
                <a:schemeClr val="tx1"/>
              </a:solidFill>
              <a:miter lim="800000"/>
              <a:headEnd/>
              <a:tailEnd/>
            </a:ln>
          </xdr:spPr>
          <xdr:txBody>
            <a:bodyPr rot="0" vert="horz" wrap="square" lIns="91440" tIns="45720" rIns="91440" bIns="45720" anchor="ctr" anchorCtr="0">
              <a:noAutofit/>
            </a:bodyPr>
            <a:lstStyle/>
            <a:p>
              <a:pPr marL="0" marR="0" algn="ctr">
                <a:spcBef>
                  <a:spcPts val="0"/>
                </a:spcBef>
                <a:spcAft>
                  <a:spcPts val="0"/>
                </a:spcAft>
              </a:pPr>
              <a:r>
                <a:rPr lang="en-US" sz="1200" b="1">
                  <a:effectLst/>
                  <a:latin typeface="Times New Roman" panose="02020603050405020304" pitchFamily="18" charset="0"/>
                  <a:ea typeface="Times New Roman" panose="02020603050405020304" pitchFamily="18" charset="0"/>
                </a:rPr>
                <a:t>-</a:t>
              </a:r>
            </a:p>
          </xdr:txBody>
        </xdr:sp>
        <xdr:sp macro="" textlink="">
          <xdr:nvSpPr>
            <xdr:cNvPr id="387" name="Text Box 2">
              <a:extLst>
                <a:ext uri="{FF2B5EF4-FFF2-40B4-BE49-F238E27FC236}">
                  <a16:creationId xmlns:a16="http://schemas.microsoft.com/office/drawing/2014/main" id="{00000000-0008-0000-0000-000083010000}"/>
                </a:ext>
              </a:extLst>
            </xdr:cNvPr>
            <xdr:cNvSpPr txBox="1">
              <a:spLocks noChangeArrowheads="1"/>
            </xdr:cNvSpPr>
          </xdr:nvSpPr>
          <xdr:spPr bwMode="auto">
            <a:xfrm>
              <a:off x="1728371" y="1740145"/>
              <a:ext cx="503252" cy="228303"/>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b" anchorCtr="0">
              <a:noAutofit/>
            </a:bodyPr>
            <a:lstStyle/>
            <a:p>
              <a:pPr marL="0" marR="0">
                <a:spcBef>
                  <a:spcPts val="0"/>
                </a:spcBef>
                <a:spcAft>
                  <a:spcPts val="0"/>
                </a:spcAft>
              </a:pPr>
              <a:r>
                <a:rPr lang="en-US" sz="1100">
                  <a:effectLst/>
                  <a:latin typeface="Times New Roman" panose="02020603050405020304" pitchFamily="18" charset="0"/>
                  <a:ea typeface="Times New Roman" panose="02020603050405020304" pitchFamily="18" charset="0"/>
                </a:rPr>
                <a:t>4 1 8</a:t>
              </a:r>
            </a:p>
          </xdr:txBody>
        </xdr:sp>
        <xdr:cxnSp macro="">
          <xdr:nvCxnSpPr>
            <xdr:cNvPr id="388" name="Straight Connector 387">
              <a:extLst>
                <a:ext uri="{FF2B5EF4-FFF2-40B4-BE49-F238E27FC236}">
                  <a16:creationId xmlns:a16="http://schemas.microsoft.com/office/drawing/2014/main" id="{00000000-0008-0000-0000-000084010000}"/>
                </a:ext>
              </a:extLst>
            </xdr:cNvPr>
            <xdr:cNvCxnSpPr/>
          </xdr:nvCxnSpPr>
          <xdr:spPr>
            <a:xfrm>
              <a:off x="1888651" y="1875923"/>
              <a:ext cx="0" cy="91440"/>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89" name="Straight Connector 388">
              <a:extLst>
                <a:ext uri="{FF2B5EF4-FFF2-40B4-BE49-F238E27FC236}">
                  <a16:creationId xmlns:a16="http://schemas.microsoft.com/office/drawing/2014/main" id="{00000000-0008-0000-0000-000085010000}"/>
                </a:ext>
              </a:extLst>
            </xdr:cNvPr>
            <xdr:cNvCxnSpPr/>
          </xdr:nvCxnSpPr>
          <xdr:spPr>
            <a:xfrm>
              <a:off x="2058550" y="1875918"/>
              <a:ext cx="0" cy="91440"/>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sp macro="" textlink="">
          <xdr:nvSpPr>
            <xdr:cNvPr id="390" name="Text Box 2">
              <a:extLst>
                <a:ext uri="{FF2B5EF4-FFF2-40B4-BE49-F238E27FC236}">
                  <a16:creationId xmlns:a16="http://schemas.microsoft.com/office/drawing/2014/main" id="{00000000-0008-0000-0000-000086010000}"/>
                </a:ext>
              </a:extLst>
            </xdr:cNvPr>
            <xdr:cNvSpPr txBox="1">
              <a:spLocks noChangeArrowheads="1"/>
            </xdr:cNvSpPr>
          </xdr:nvSpPr>
          <xdr:spPr bwMode="auto">
            <a:xfrm>
              <a:off x="2225557" y="1740146"/>
              <a:ext cx="155698" cy="228600"/>
            </a:xfrm>
            <a:prstGeom prst="rect">
              <a:avLst/>
            </a:prstGeom>
            <a:solidFill>
              <a:schemeClr val="bg1">
                <a:lumMod val="65000"/>
              </a:schemeClr>
            </a:solidFill>
            <a:ln w="6350">
              <a:solidFill>
                <a:schemeClr val="tx1"/>
              </a:solidFill>
              <a:miter lim="800000"/>
              <a:headEnd/>
              <a:tailEnd/>
            </a:ln>
          </xdr:spPr>
          <xdr:txBody>
            <a:bodyPr rot="0" vert="horz" wrap="square" lIns="91440" tIns="45720" rIns="91440" bIns="45720" anchor="ctr" anchorCtr="0">
              <a:noAutofit/>
            </a:bodyPr>
            <a:lstStyle/>
            <a:p>
              <a:pPr marL="0" marR="0" algn="ctr">
                <a:spcBef>
                  <a:spcPts val="0"/>
                </a:spcBef>
                <a:spcAft>
                  <a:spcPts val="0"/>
                </a:spcAft>
              </a:pPr>
              <a:r>
                <a:rPr lang="en-US" sz="1200" b="1">
                  <a:effectLst/>
                  <a:latin typeface="Times New Roman" panose="02020603050405020304" pitchFamily="18" charset="0"/>
                  <a:ea typeface="Times New Roman" panose="02020603050405020304" pitchFamily="18" charset="0"/>
                </a:rPr>
                <a:t>-</a:t>
              </a:r>
            </a:p>
          </xdr:txBody>
        </xdr:sp>
        <xdr:sp macro="" textlink="">
          <xdr:nvSpPr>
            <xdr:cNvPr id="391" name="Text Box 2">
              <a:extLst>
                <a:ext uri="{FF2B5EF4-FFF2-40B4-BE49-F238E27FC236}">
                  <a16:creationId xmlns:a16="http://schemas.microsoft.com/office/drawing/2014/main" id="{00000000-0008-0000-0000-000087010000}"/>
                </a:ext>
              </a:extLst>
            </xdr:cNvPr>
            <xdr:cNvSpPr txBox="1">
              <a:spLocks noChangeArrowheads="1"/>
            </xdr:cNvSpPr>
          </xdr:nvSpPr>
          <xdr:spPr bwMode="auto">
            <a:xfrm>
              <a:off x="2381256" y="1740145"/>
              <a:ext cx="1008836" cy="230816"/>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b" anchorCtr="0">
              <a:noAutofit/>
            </a:bodyPr>
            <a:lstStyle/>
            <a:p>
              <a:pPr marL="0" marR="0">
                <a:spcBef>
                  <a:spcPts val="0"/>
                </a:spcBef>
                <a:spcAft>
                  <a:spcPts val="0"/>
                </a:spcAft>
              </a:pPr>
              <a:r>
                <a:rPr lang="en-US" sz="1100">
                  <a:effectLst/>
                  <a:latin typeface="Times New Roman" panose="02020603050405020304" pitchFamily="18" charset="0"/>
                  <a:ea typeface="Times New Roman" panose="02020603050405020304" pitchFamily="18" charset="0"/>
                </a:rPr>
                <a:t>0  0   0   0  0 </a:t>
              </a:r>
            </a:p>
          </xdr:txBody>
        </xdr:sp>
        <xdr:cxnSp macro="">
          <xdr:nvCxnSpPr>
            <xdr:cNvPr id="392" name="Straight Connector 391">
              <a:extLst>
                <a:ext uri="{FF2B5EF4-FFF2-40B4-BE49-F238E27FC236}">
                  <a16:creationId xmlns:a16="http://schemas.microsoft.com/office/drawing/2014/main" id="{00000000-0008-0000-0000-000088010000}"/>
                </a:ext>
              </a:extLst>
            </xdr:cNvPr>
            <xdr:cNvCxnSpPr/>
          </xdr:nvCxnSpPr>
          <xdr:spPr>
            <a:xfrm>
              <a:off x="2564257" y="1876040"/>
              <a:ext cx="0" cy="91321"/>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93" name="Straight Connector 392">
              <a:extLst>
                <a:ext uri="{FF2B5EF4-FFF2-40B4-BE49-F238E27FC236}">
                  <a16:creationId xmlns:a16="http://schemas.microsoft.com/office/drawing/2014/main" id="{00000000-0008-0000-0000-000089010000}"/>
                </a:ext>
              </a:extLst>
            </xdr:cNvPr>
            <xdr:cNvCxnSpPr/>
          </xdr:nvCxnSpPr>
          <xdr:spPr>
            <a:xfrm>
              <a:off x="2756818" y="1876035"/>
              <a:ext cx="0" cy="91321"/>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94" name="Straight Connector 393">
              <a:extLst>
                <a:ext uri="{FF2B5EF4-FFF2-40B4-BE49-F238E27FC236}">
                  <a16:creationId xmlns:a16="http://schemas.microsoft.com/office/drawing/2014/main" id="{00000000-0008-0000-0000-00008A010000}"/>
                </a:ext>
              </a:extLst>
            </xdr:cNvPr>
            <xdr:cNvCxnSpPr/>
          </xdr:nvCxnSpPr>
          <xdr:spPr>
            <a:xfrm>
              <a:off x="2960070" y="1876035"/>
              <a:ext cx="0" cy="91321"/>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95" name="Straight Connector 394">
              <a:extLst>
                <a:ext uri="{FF2B5EF4-FFF2-40B4-BE49-F238E27FC236}">
                  <a16:creationId xmlns:a16="http://schemas.microsoft.com/office/drawing/2014/main" id="{00000000-0008-0000-0000-00008B010000}"/>
                </a:ext>
              </a:extLst>
            </xdr:cNvPr>
            <xdr:cNvCxnSpPr/>
          </xdr:nvCxnSpPr>
          <xdr:spPr>
            <a:xfrm>
              <a:off x="3149058" y="1876165"/>
              <a:ext cx="0" cy="91321"/>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30" name="Text Box 2">
            <a:extLst>
              <a:ext uri="{FF2B5EF4-FFF2-40B4-BE49-F238E27FC236}">
                <a16:creationId xmlns:a16="http://schemas.microsoft.com/office/drawing/2014/main" id="{00000000-0008-0000-0000-000082000000}"/>
              </a:ext>
            </a:extLst>
          </xdr:cNvPr>
          <xdr:cNvSpPr txBox="1">
            <a:spLocks noChangeArrowheads="1"/>
          </xdr:cNvSpPr>
        </xdr:nvSpPr>
        <xdr:spPr bwMode="auto">
          <a:xfrm>
            <a:off x="2371219" y="3343557"/>
            <a:ext cx="494493" cy="224773"/>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b" anchorCtr="0">
            <a:noAutofit/>
          </a:bodyPr>
          <a:lstStyle/>
          <a:p>
            <a:pPr marL="0" marR="0">
              <a:spcBef>
                <a:spcPts val="0"/>
              </a:spcBef>
              <a:spcAft>
                <a:spcPts val="0"/>
              </a:spcAft>
            </a:pPr>
            <a:r>
              <a:rPr lang="en-US" sz="1100">
                <a:effectLst/>
                <a:latin typeface="Times New Roman" panose="02020603050405020304" pitchFamily="18" charset="0"/>
                <a:ea typeface="Times New Roman" panose="02020603050405020304" pitchFamily="18" charset="0"/>
              </a:rPr>
              <a:t>0 0 0</a:t>
            </a:r>
          </a:p>
        </xdr:txBody>
      </xdr:sp>
    </xdr:grpSp>
    <xdr:clientData/>
  </xdr:twoCellAnchor>
  <xdr:twoCellAnchor>
    <xdr:from>
      <xdr:col>14</xdr:col>
      <xdr:colOff>694</xdr:colOff>
      <xdr:row>26</xdr:row>
      <xdr:rowOff>30263</xdr:rowOff>
    </xdr:from>
    <xdr:to>
      <xdr:col>14</xdr:col>
      <xdr:colOff>694</xdr:colOff>
      <xdr:row>26</xdr:row>
      <xdr:rowOff>120289</xdr:rowOff>
    </xdr:to>
    <xdr:cxnSp macro="">
      <xdr:nvCxnSpPr>
        <xdr:cNvPr id="131" name="Straight Connector 130">
          <a:extLst>
            <a:ext uri="{FF2B5EF4-FFF2-40B4-BE49-F238E27FC236}">
              <a16:creationId xmlns:a16="http://schemas.microsoft.com/office/drawing/2014/main" id="{00000000-0008-0000-0000-000083000000}"/>
            </a:ext>
          </a:extLst>
        </xdr:cNvPr>
        <xdr:cNvCxnSpPr/>
      </xdr:nvCxnSpPr>
      <xdr:spPr>
        <a:xfrm>
          <a:off x="2516732" y="3477235"/>
          <a:ext cx="0" cy="90026"/>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167635</xdr:colOff>
      <xdr:row>26</xdr:row>
      <xdr:rowOff>30258</xdr:rowOff>
    </xdr:from>
    <xdr:to>
      <xdr:col>14</xdr:col>
      <xdr:colOff>167635</xdr:colOff>
      <xdr:row>26</xdr:row>
      <xdr:rowOff>120284</xdr:rowOff>
    </xdr:to>
    <xdr:cxnSp macro="">
      <xdr:nvCxnSpPr>
        <xdr:cNvPr id="132" name="Straight Connector 131">
          <a:extLst>
            <a:ext uri="{FF2B5EF4-FFF2-40B4-BE49-F238E27FC236}">
              <a16:creationId xmlns:a16="http://schemas.microsoft.com/office/drawing/2014/main" id="{00000000-0008-0000-0000-000084000000}"/>
            </a:ext>
          </a:extLst>
        </xdr:cNvPr>
        <xdr:cNvCxnSpPr/>
      </xdr:nvCxnSpPr>
      <xdr:spPr>
        <a:xfrm>
          <a:off x="2683673" y="3477230"/>
          <a:ext cx="0" cy="90026"/>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25161</xdr:colOff>
      <xdr:row>13</xdr:row>
      <xdr:rowOff>57059</xdr:rowOff>
    </xdr:from>
    <xdr:to>
      <xdr:col>28</xdr:col>
      <xdr:colOff>150830</xdr:colOff>
      <xdr:row>14</xdr:row>
      <xdr:rowOff>123574</xdr:rowOff>
    </xdr:to>
    <xdr:grpSp>
      <xdr:nvGrpSpPr>
        <xdr:cNvPr id="11" name="Group 10">
          <a:extLst>
            <a:ext uri="{FF2B5EF4-FFF2-40B4-BE49-F238E27FC236}">
              <a16:creationId xmlns:a16="http://schemas.microsoft.com/office/drawing/2014/main" id="{00000000-0008-0000-0000-00000B000000}"/>
            </a:ext>
          </a:extLst>
        </xdr:cNvPr>
        <xdr:cNvGrpSpPr/>
      </xdr:nvGrpSpPr>
      <xdr:grpSpPr>
        <a:xfrm>
          <a:off x="2416264" y="1717693"/>
          <a:ext cx="2916166" cy="218915"/>
          <a:chOff x="2361482" y="1728427"/>
          <a:chExt cx="2850178" cy="217477"/>
        </a:xfrm>
      </xdr:grpSpPr>
      <xdr:grpSp>
        <xdr:nvGrpSpPr>
          <xdr:cNvPr id="10" name="Group 9">
            <a:extLst>
              <a:ext uri="{FF2B5EF4-FFF2-40B4-BE49-F238E27FC236}">
                <a16:creationId xmlns:a16="http://schemas.microsoft.com/office/drawing/2014/main" id="{00000000-0008-0000-0000-00000A000000}"/>
              </a:ext>
            </a:extLst>
          </xdr:cNvPr>
          <xdr:cNvGrpSpPr/>
        </xdr:nvGrpSpPr>
        <xdr:grpSpPr>
          <a:xfrm>
            <a:off x="2361482" y="1728427"/>
            <a:ext cx="2850178" cy="217477"/>
            <a:chOff x="2361482" y="1728427"/>
            <a:chExt cx="2850178" cy="217477"/>
          </a:xfrm>
        </xdr:grpSpPr>
        <xdr:grpSp>
          <xdr:nvGrpSpPr>
            <xdr:cNvPr id="334" name="Group 333">
              <a:extLst>
                <a:ext uri="{FF2B5EF4-FFF2-40B4-BE49-F238E27FC236}">
                  <a16:creationId xmlns:a16="http://schemas.microsoft.com/office/drawing/2014/main" id="{00000000-0008-0000-0000-00004E010000}"/>
                </a:ext>
              </a:extLst>
            </xdr:cNvPr>
            <xdr:cNvGrpSpPr/>
          </xdr:nvGrpSpPr>
          <xdr:grpSpPr>
            <a:xfrm>
              <a:off x="2853654" y="1728427"/>
              <a:ext cx="2358006" cy="217316"/>
              <a:chOff x="919351" y="1740142"/>
              <a:chExt cx="2402508" cy="228607"/>
            </a:xfrm>
          </xdr:grpSpPr>
          <xdr:sp macro="" textlink="">
            <xdr:nvSpPr>
              <xdr:cNvPr id="338" name="Text Box 2">
                <a:extLst>
                  <a:ext uri="{FF2B5EF4-FFF2-40B4-BE49-F238E27FC236}">
                    <a16:creationId xmlns:a16="http://schemas.microsoft.com/office/drawing/2014/main" id="{00000000-0008-0000-0000-000052010000}"/>
                  </a:ext>
                </a:extLst>
              </xdr:cNvPr>
              <xdr:cNvSpPr txBox="1">
                <a:spLocks noChangeArrowheads="1"/>
              </xdr:cNvSpPr>
            </xdr:nvSpPr>
            <xdr:spPr bwMode="auto">
              <a:xfrm>
                <a:off x="919351" y="1740149"/>
                <a:ext cx="155698" cy="228600"/>
              </a:xfrm>
              <a:prstGeom prst="rect">
                <a:avLst/>
              </a:prstGeom>
              <a:solidFill>
                <a:schemeClr val="bg1">
                  <a:lumMod val="65000"/>
                </a:schemeClr>
              </a:solidFill>
              <a:ln w="6350">
                <a:solidFill>
                  <a:schemeClr val="tx1"/>
                </a:solidFill>
                <a:miter lim="800000"/>
                <a:headEnd/>
                <a:tailEnd/>
              </a:ln>
            </xdr:spPr>
            <xdr:txBody>
              <a:bodyPr rot="0" vert="horz" wrap="square" lIns="91440" tIns="45720" rIns="91440" bIns="45720" anchor="ctr" anchorCtr="0">
                <a:noAutofit/>
              </a:bodyPr>
              <a:lstStyle/>
              <a:p>
                <a:pPr marL="0" marR="0" algn="ctr">
                  <a:spcBef>
                    <a:spcPts val="0"/>
                  </a:spcBef>
                  <a:spcAft>
                    <a:spcPts val="0"/>
                  </a:spcAft>
                </a:pPr>
                <a:r>
                  <a:rPr lang="en-US" sz="1200" b="1">
                    <a:effectLst/>
                    <a:latin typeface="Times New Roman" panose="02020603050405020304" pitchFamily="18" charset="0"/>
                    <a:ea typeface="Times New Roman" panose="02020603050405020304" pitchFamily="18" charset="0"/>
                  </a:rPr>
                  <a:t>-</a:t>
                </a:r>
              </a:p>
            </xdr:txBody>
          </xdr:sp>
          <xdr:sp macro="" textlink="">
            <xdr:nvSpPr>
              <xdr:cNvPr id="339" name="Text Box 2">
                <a:extLst>
                  <a:ext uri="{FF2B5EF4-FFF2-40B4-BE49-F238E27FC236}">
                    <a16:creationId xmlns:a16="http://schemas.microsoft.com/office/drawing/2014/main" id="{00000000-0008-0000-0000-000053010000}"/>
                  </a:ext>
                </a:extLst>
              </xdr:cNvPr>
              <xdr:cNvSpPr txBox="1">
                <a:spLocks noChangeArrowheads="1"/>
              </xdr:cNvSpPr>
            </xdr:nvSpPr>
            <xdr:spPr bwMode="auto">
              <a:xfrm>
                <a:off x="1075046" y="1740145"/>
                <a:ext cx="503252" cy="228303"/>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r>
                  <a:rPr lang="en-US" sz="1200">
                    <a:effectLst/>
                    <a:latin typeface="Times New Roman" panose="02020603050405020304" pitchFamily="18" charset="0"/>
                    <a:ea typeface="Times New Roman" panose="02020603050405020304" pitchFamily="18" charset="0"/>
                  </a:rPr>
                  <a:t>112</a:t>
                </a:r>
              </a:p>
            </xdr:txBody>
          </xdr:sp>
          <xdr:cxnSp macro="">
            <xdr:nvCxnSpPr>
              <xdr:cNvPr id="340" name="Straight Connector 339">
                <a:extLst>
                  <a:ext uri="{FF2B5EF4-FFF2-40B4-BE49-F238E27FC236}">
                    <a16:creationId xmlns:a16="http://schemas.microsoft.com/office/drawing/2014/main" id="{00000000-0008-0000-0000-000054010000}"/>
                  </a:ext>
                </a:extLst>
              </xdr:cNvPr>
              <xdr:cNvCxnSpPr/>
            </xdr:nvCxnSpPr>
            <xdr:spPr>
              <a:xfrm>
                <a:off x="1229228" y="1875923"/>
                <a:ext cx="0" cy="91440"/>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sp macro="" textlink="">
            <xdr:nvSpPr>
              <xdr:cNvPr id="342" name="Text Box 2">
                <a:extLst>
                  <a:ext uri="{FF2B5EF4-FFF2-40B4-BE49-F238E27FC236}">
                    <a16:creationId xmlns:a16="http://schemas.microsoft.com/office/drawing/2014/main" id="{00000000-0008-0000-0000-000056010000}"/>
                  </a:ext>
                </a:extLst>
              </xdr:cNvPr>
              <xdr:cNvSpPr txBox="1">
                <a:spLocks noChangeArrowheads="1"/>
              </xdr:cNvSpPr>
            </xdr:nvSpPr>
            <xdr:spPr bwMode="auto">
              <a:xfrm>
                <a:off x="1572670" y="1740147"/>
                <a:ext cx="155698" cy="228600"/>
              </a:xfrm>
              <a:prstGeom prst="rect">
                <a:avLst/>
              </a:prstGeom>
              <a:solidFill>
                <a:schemeClr val="bg1">
                  <a:lumMod val="65000"/>
                </a:schemeClr>
              </a:solidFill>
              <a:ln w="6350">
                <a:solidFill>
                  <a:schemeClr val="tx1"/>
                </a:solidFill>
                <a:miter lim="800000"/>
                <a:headEnd/>
                <a:tailEnd/>
              </a:ln>
            </xdr:spPr>
            <xdr:txBody>
              <a:bodyPr rot="0" vert="horz" wrap="square" lIns="91440" tIns="45720" rIns="91440" bIns="45720" anchor="ctr" anchorCtr="0">
                <a:noAutofit/>
              </a:bodyPr>
              <a:lstStyle/>
              <a:p>
                <a:pPr marL="0" marR="0" algn="ctr">
                  <a:spcBef>
                    <a:spcPts val="0"/>
                  </a:spcBef>
                  <a:spcAft>
                    <a:spcPts val="0"/>
                  </a:spcAft>
                </a:pPr>
                <a:r>
                  <a:rPr lang="en-US" sz="1200" b="1">
                    <a:effectLst/>
                    <a:latin typeface="Times New Roman" panose="02020603050405020304" pitchFamily="18" charset="0"/>
                    <a:ea typeface="Times New Roman" panose="02020603050405020304" pitchFamily="18" charset="0"/>
                  </a:rPr>
                  <a:t>-</a:t>
                </a:r>
              </a:p>
            </xdr:txBody>
          </xdr:sp>
          <xdr:sp macro="" textlink="">
            <xdr:nvSpPr>
              <xdr:cNvPr id="343" name="Text Box 2">
                <a:extLst>
                  <a:ext uri="{FF2B5EF4-FFF2-40B4-BE49-F238E27FC236}">
                    <a16:creationId xmlns:a16="http://schemas.microsoft.com/office/drawing/2014/main" id="{00000000-0008-0000-0000-000057010000}"/>
                  </a:ext>
                </a:extLst>
              </xdr:cNvPr>
              <xdr:cNvSpPr txBox="1">
                <a:spLocks noChangeArrowheads="1"/>
              </xdr:cNvSpPr>
            </xdr:nvSpPr>
            <xdr:spPr bwMode="auto">
              <a:xfrm>
                <a:off x="1728371" y="1740145"/>
                <a:ext cx="503252" cy="228303"/>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r>
                  <a:rPr lang="en-US" sz="1200">
                    <a:effectLst/>
                    <a:latin typeface="Times New Roman" panose="02020603050405020304" pitchFamily="18" charset="0"/>
                    <a:ea typeface="Times New Roman" panose="02020603050405020304" pitchFamily="18" charset="0"/>
                  </a:rPr>
                  <a:t>7 1 8</a:t>
                </a:r>
              </a:p>
            </xdr:txBody>
          </xdr:sp>
          <xdr:cxnSp macro="">
            <xdr:nvCxnSpPr>
              <xdr:cNvPr id="344" name="Straight Connector 343">
                <a:extLst>
                  <a:ext uri="{FF2B5EF4-FFF2-40B4-BE49-F238E27FC236}">
                    <a16:creationId xmlns:a16="http://schemas.microsoft.com/office/drawing/2014/main" id="{00000000-0008-0000-0000-000058010000}"/>
                  </a:ext>
                </a:extLst>
              </xdr:cNvPr>
              <xdr:cNvCxnSpPr/>
            </xdr:nvCxnSpPr>
            <xdr:spPr>
              <a:xfrm>
                <a:off x="1888651" y="1875923"/>
                <a:ext cx="0" cy="91440"/>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45" name="Straight Connector 344">
                <a:extLst>
                  <a:ext uri="{FF2B5EF4-FFF2-40B4-BE49-F238E27FC236}">
                    <a16:creationId xmlns:a16="http://schemas.microsoft.com/office/drawing/2014/main" id="{00000000-0008-0000-0000-000059010000}"/>
                  </a:ext>
                </a:extLst>
              </xdr:cNvPr>
              <xdr:cNvCxnSpPr/>
            </xdr:nvCxnSpPr>
            <xdr:spPr>
              <a:xfrm>
                <a:off x="2058550" y="1875918"/>
                <a:ext cx="0" cy="91440"/>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sp macro="" textlink="">
            <xdr:nvSpPr>
              <xdr:cNvPr id="346" name="Text Box 2">
                <a:extLst>
                  <a:ext uri="{FF2B5EF4-FFF2-40B4-BE49-F238E27FC236}">
                    <a16:creationId xmlns:a16="http://schemas.microsoft.com/office/drawing/2014/main" id="{00000000-0008-0000-0000-00005A010000}"/>
                  </a:ext>
                </a:extLst>
              </xdr:cNvPr>
              <xdr:cNvSpPr txBox="1">
                <a:spLocks noChangeArrowheads="1"/>
              </xdr:cNvSpPr>
            </xdr:nvSpPr>
            <xdr:spPr bwMode="auto">
              <a:xfrm>
                <a:off x="2225557" y="1740146"/>
                <a:ext cx="155698" cy="228600"/>
              </a:xfrm>
              <a:prstGeom prst="rect">
                <a:avLst/>
              </a:prstGeom>
              <a:solidFill>
                <a:schemeClr val="bg1">
                  <a:lumMod val="65000"/>
                </a:schemeClr>
              </a:solidFill>
              <a:ln w="6350">
                <a:solidFill>
                  <a:schemeClr val="tx1"/>
                </a:solidFill>
                <a:miter lim="800000"/>
                <a:headEnd/>
                <a:tailEnd/>
              </a:ln>
            </xdr:spPr>
            <xdr:txBody>
              <a:bodyPr rot="0" vert="horz" wrap="square" lIns="91440" tIns="45720" rIns="91440" bIns="45720" anchor="ctr" anchorCtr="0">
                <a:noAutofit/>
              </a:bodyPr>
              <a:lstStyle/>
              <a:p>
                <a:pPr marL="0" marR="0" algn="ctr">
                  <a:spcBef>
                    <a:spcPts val="0"/>
                  </a:spcBef>
                  <a:spcAft>
                    <a:spcPts val="0"/>
                  </a:spcAft>
                </a:pPr>
                <a:r>
                  <a:rPr lang="en-US" sz="1200" b="1">
                    <a:effectLst/>
                    <a:latin typeface="Times New Roman" panose="02020603050405020304" pitchFamily="18" charset="0"/>
                    <a:ea typeface="Times New Roman" panose="02020603050405020304" pitchFamily="18" charset="0"/>
                  </a:rPr>
                  <a:t>-</a:t>
                </a:r>
              </a:p>
            </xdr:txBody>
          </xdr:sp>
          <xdr:sp macro="" textlink="">
            <xdr:nvSpPr>
              <xdr:cNvPr id="347" name="Text Box 2">
                <a:extLst>
                  <a:ext uri="{FF2B5EF4-FFF2-40B4-BE49-F238E27FC236}">
                    <a16:creationId xmlns:a16="http://schemas.microsoft.com/office/drawing/2014/main" id="{00000000-0008-0000-0000-00005B010000}"/>
                  </a:ext>
                </a:extLst>
              </xdr:cNvPr>
              <xdr:cNvSpPr txBox="1">
                <a:spLocks noChangeArrowheads="1"/>
              </xdr:cNvSpPr>
            </xdr:nvSpPr>
            <xdr:spPr bwMode="auto">
              <a:xfrm>
                <a:off x="2381256" y="1740142"/>
                <a:ext cx="940603" cy="228303"/>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r>
                  <a:rPr lang="en-US" sz="1200">
                    <a:effectLst/>
                    <a:latin typeface="Times New Roman" panose="02020603050405020304" pitchFamily="18" charset="0"/>
                    <a:ea typeface="Times New Roman" panose="02020603050405020304" pitchFamily="18" charset="0"/>
                  </a:rPr>
                  <a:t>0000</a:t>
                </a:r>
              </a:p>
            </xdr:txBody>
          </xdr:sp>
          <xdr:cxnSp macro="">
            <xdr:nvCxnSpPr>
              <xdr:cNvPr id="348" name="Straight Connector 347">
                <a:extLst>
                  <a:ext uri="{FF2B5EF4-FFF2-40B4-BE49-F238E27FC236}">
                    <a16:creationId xmlns:a16="http://schemas.microsoft.com/office/drawing/2014/main" id="{00000000-0008-0000-0000-00005C010000}"/>
                  </a:ext>
                </a:extLst>
              </xdr:cNvPr>
              <xdr:cNvCxnSpPr/>
            </xdr:nvCxnSpPr>
            <xdr:spPr>
              <a:xfrm>
                <a:off x="2564257" y="1876040"/>
                <a:ext cx="0" cy="91321"/>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49" name="Straight Connector 348">
                <a:extLst>
                  <a:ext uri="{FF2B5EF4-FFF2-40B4-BE49-F238E27FC236}">
                    <a16:creationId xmlns:a16="http://schemas.microsoft.com/office/drawing/2014/main" id="{00000000-0008-0000-0000-00005D010000}"/>
                  </a:ext>
                </a:extLst>
              </xdr:cNvPr>
              <xdr:cNvCxnSpPr/>
            </xdr:nvCxnSpPr>
            <xdr:spPr>
              <a:xfrm>
                <a:off x="2756818" y="1876035"/>
                <a:ext cx="0" cy="91321"/>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50" name="Straight Connector 349">
                <a:extLst>
                  <a:ext uri="{FF2B5EF4-FFF2-40B4-BE49-F238E27FC236}">
                    <a16:creationId xmlns:a16="http://schemas.microsoft.com/office/drawing/2014/main" id="{00000000-0008-0000-0000-00005E010000}"/>
                  </a:ext>
                </a:extLst>
              </xdr:cNvPr>
              <xdr:cNvCxnSpPr/>
            </xdr:nvCxnSpPr>
            <xdr:spPr>
              <a:xfrm>
                <a:off x="2960070" y="1876035"/>
                <a:ext cx="0" cy="91321"/>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51" name="Straight Connector 350">
                <a:extLst>
                  <a:ext uri="{FF2B5EF4-FFF2-40B4-BE49-F238E27FC236}">
                    <a16:creationId xmlns:a16="http://schemas.microsoft.com/office/drawing/2014/main" id="{00000000-0008-0000-0000-00005F010000}"/>
                  </a:ext>
                </a:extLst>
              </xdr:cNvPr>
              <xdr:cNvCxnSpPr/>
            </xdr:nvCxnSpPr>
            <xdr:spPr>
              <a:xfrm>
                <a:off x="3149058" y="1876165"/>
                <a:ext cx="0" cy="91321"/>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35" name="Text Box 2">
              <a:extLst>
                <a:ext uri="{FF2B5EF4-FFF2-40B4-BE49-F238E27FC236}">
                  <a16:creationId xmlns:a16="http://schemas.microsoft.com/office/drawing/2014/main" id="{00000000-0008-0000-0000-000087000000}"/>
                </a:ext>
              </a:extLst>
            </xdr:cNvPr>
            <xdr:cNvSpPr txBox="1">
              <a:spLocks noChangeArrowheads="1"/>
            </xdr:cNvSpPr>
          </xdr:nvSpPr>
          <xdr:spPr bwMode="auto">
            <a:xfrm>
              <a:off x="2361482" y="1728877"/>
              <a:ext cx="493930" cy="217027"/>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r>
                <a:rPr lang="en-US" sz="1200">
                  <a:effectLst/>
                  <a:latin typeface="Times New Roman" panose="02020603050405020304" pitchFamily="18" charset="0"/>
                  <a:ea typeface="Times New Roman" panose="02020603050405020304" pitchFamily="18" charset="0"/>
                </a:rPr>
                <a:t>2 5 4</a:t>
              </a:r>
            </a:p>
            <a:p>
              <a:pPr marL="0" marR="0">
                <a:spcBef>
                  <a:spcPts val="0"/>
                </a:spcBef>
                <a:spcAft>
                  <a:spcPts val="0"/>
                </a:spcAft>
              </a:pPr>
              <a:r>
                <a:rPr lang="en-US" sz="1200">
                  <a:effectLst/>
                  <a:latin typeface="Times New Roman" panose="02020603050405020304" pitchFamily="18" charset="0"/>
                  <a:ea typeface="Times New Roman" panose="02020603050405020304" pitchFamily="18" charset="0"/>
                </a:rPr>
                <a:t>	 </a:t>
              </a:r>
            </a:p>
          </xdr:txBody>
        </xdr:sp>
      </xdr:grpSp>
      <xdr:cxnSp macro="">
        <xdr:nvCxnSpPr>
          <xdr:cNvPr id="136" name="Straight Connector 135">
            <a:extLst>
              <a:ext uri="{FF2B5EF4-FFF2-40B4-BE49-F238E27FC236}">
                <a16:creationId xmlns:a16="http://schemas.microsoft.com/office/drawing/2014/main" id="{00000000-0008-0000-0000-000088000000}"/>
              </a:ext>
            </a:extLst>
          </xdr:cNvPr>
          <xdr:cNvCxnSpPr/>
        </xdr:nvCxnSpPr>
        <xdr:spPr>
          <a:xfrm>
            <a:off x="2512808" y="1857949"/>
            <a:ext cx="0" cy="86924"/>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37" name="Straight Connector 136">
            <a:extLst>
              <a:ext uri="{FF2B5EF4-FFF2-40B4-BE49-F238E27FC236}">
                <a16:creationId xmlns:a16="http://schemas.microsoft.com/office/drawing/2014/main" id="{00000000-0008-0000-0000-000089000000}"/>
              </a:ext>
            </a:extLst>
          </xdr:cNvPr>
          <xdr:cNvCxnSpPr/>
        </xdr:nvCxnSpPr>
        <xdr:spPr>
          <a:xfrm>
            <a:off x="2679560" y="1857944"/>
            <a:ext cx="0" cy="86924"/>
          </a:xfrm>
          <a:prstGeom prst="line">
            <a:avLst/>
          </a:prstGeom>
          <a:solidFill>
            <a:sysClr val="window" lastClr="FFFFFF"/>
          </a:solid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29</xdr:col>
      <xdr:colOff>41673</xdr:colOff>
      <xdr:row>4</xdr:row>
      <xdr:rowOff>47625</xdr:rowOff>
    </xdr:from>
    <xdr:to>
      <xdr:col>39</xdr:col>
      <xdr:colOff>119063</xdr:colOff>
      <xdr:row>7</xdr:row>
      <xdr:rowOff>85725</xdr:rowOff>
    </xdr:to>
    <xdr:pic>
      <xdr:nvPicPr>
        <xdr:cNvPr id="133" name="Picture 132" descr="C:\Users\kimberly.forones\AppData\Local\Microsoft\Windows\INetCache\Content.Word\2307 0118ENCS.PNG">
          <a:extLst>
            <a:ext uri="{FF2B5EF4-FFF2-40B4-BE49-F238E27FC236}">
              <a16:creationId xmlns:a16="http://schemas.microsoft.com/office/drawing/2014/main" id="{00000000-0008-0000-0000-000085000000}"/>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50657" y="553641"/>
          <a:ext cx="1863328" cy="422671"/>
        </a:xfrm>
        <a:prstGeom prst="rect">
          <a:avLst/>
        </a:prstGeom>
        <a:noFill/>
        <a:ln>
          <a:noFill/>
        </a:ln>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19050</xdr:colOff>
      <xdr:row>0</xdr:row>
      <xdr:rowOff>0</xdr:rowOff>
    </xdr:from>
    <xdr:ext cx="454269" cy="234462"/>
    <xdr:sp macro="" textlink="">
      <xdr:nvSpPr>
        <xdr:cNvPr id="2" name="Rectangle 229">
          <a:extLst>
            <a:ext uri="{FF2B5EF4-FFF2-40B4-BE49-F238E27FC236}">
              <a16:creationId xmlns:a16="http://schemas.microsoft.com/office/drawing/2014/main" id="{E5BEC9F6-97A0-457C-85C1-6DCD163827E3}"/>
            </a:ext>
          </a:extLst>
        </xdr:cNvPr>
        <xdr:cNvSpPr>
          <a:spLocks noChangeArrowheads="1"/>
        </xdr:cNvSpPr>
      </xdr:nvSpPr>
      <xdr:spPr bwMode="auto">
        <a:xfrm>
          <a:off x="19050" y="254876"/>
          <a:ext cx="454269" cy="234462"/>
        </a:xfrm>
        <a:prstGeom prst="rect">
          <a:avLst/>
        </a:prstGeom>
        <a:solidFill>
          <a:schemeClr val="bg1">
            <a:lumMod val="85000"/>
          </a:schemeClr>
        </a:solidFill>
        <a:ln>
          <a:noFill/>
        </a:ln>
      </xdr:spPr>
      <xdr:txBody>
        <a:bodyPr wrap="none" lIns="0" tIns="0" rIns="0" bIns="0" anchor="t" upright="1">
          <a:noAutofit/>
        </a:bodyPr>
        <a:lstStyle/>
        <a:p>
          <a:pPr algn="l" rtl="0">
            <a:defRPr sz="1000"/>
          </a:pPr>
          <a:r>
            <a:rPr lang="en-US" sz="800" b="0" i="0" u="none" strike="noStrike" baseline="0">
              <a:solidFill>
                <a:srgbClr val="000000"/>
              </a:solidFill>
              <a:latin typeface="Arial"/>
              <a:cs typeface="Arial"/>
            </a:rPr>
            <a:t> For BIR  </a:t>
          </a:r>
        </a:p>
        <a:p>
          <a:pPr algn="l" rtl="0">
            <a:defRPr sz="1000"/>
          </a:pPr>
          <a:r>
            <a:rPr lang="en-US" sz="800" b="0" i="0" u="none" strike="noStrike" baseline="0">
              <a:solidFill>
                <a:srgbClr val="000000"/>
              </a:solidFill>
              <a:latin typeface="Arial"/>
              <a:cs typeface="Arial"/>
            </a:rPr>
            <a:t> Use Only </a:t>
          </a:r>
        </a:p>
      </xdr:txBody>
    </xdr:sp>
    <xdr:clientData/>
  </xdr:oneCellAnchor>
  <xdr:oneCellAnchor>
    <xdr:from>
      <xdr:col>2</xdr:col>
      <xdr:colOff>111371</xdr:colOff>
      <xdr:row>0</xdr:row>
      <xdr:rowOff>0</xdr:rowOff>
    </xdr:from>
    <xdr:ext cx="300404" cy="234462"/>
    <xdr:sp macro="" textlink="">
      <xdr:nvSpPr>
        <xdr:cNvPr id="3" name="Rectangle 229">
          <a:extLst>
            <a:ext uri="{FF2B5EF4-FFF2-40B4-BE49-F238E27FC236}">
              <a16:creationId xmlns:a16="http://schemas.microsoft.com/office/drawing/2014/main" id="{16C57ED8-5387-4455-A0B2-A1B2EAF6D742}"/>
            </a:ext>
          </a:extLst>
        </xdr:cNvPr>
        <xdr:cNvSpPr>
          <a:spLocks noChangeArrowheads="1"/>
        </xdr:cNvSpPr>
      </xdr:nvSpPr>
      <xdr:spPr bwMode="auto">
        <a:xfrm>
          <a:off x="473321" y="254876"/>
          <a:ext cx="300404" cy="234462"/>
        </a:xfrm>
        <a:prstGeom prst="rect">
          <a:avLst/>
        </a:prstGeom>
        <a:noFill/>
        <a:ln>
          <a:noFill/>
        </a:ln>
      </xdr:spPr>
      <xdr:txBody>
        <a:bodyPr wrap="none" lIns="0" tIns="0" rIns="0" bIns="0" anchor="t" upright="1">
          <a:noAutofit/>
        </a:bodyPr>
        <a:lstStyle/>
        <a:p>
          <a:pPr algn="l" rtl="0">
            <a:defRPr sz="1000"/>
          </a:pPr>
          <a:r>
            <a:rPr lang="en-US" sz="800" b="0" i="0" u="none" strike="noStrike" baseline="0">
              <a:solidFill>
                <a:srgbClr val="000000"/>
              </a:solidFill>
              <a:latin typeface="Arial"/>
              <a:cs typeface="Arial"/>
            </a:rPr>
            <a:t> BCS/</a:t>
          </a:r>
        </a:p>
        <a:p>
          <a:pPr algn="l" rtl="0">
            <a:defRPr sz="1000"/>
          </a:pPr>
          <a:r>
            <a:rPr lang="en-US" sz="800" b="0" i="0" u="none" strike="noStrike" baseline="0">
              <a:solidFill>
                <a:srgbClr val="000000"/>
              </a:solidFill>
              <a:latin typeface="Arial"/>
              <a:cs typeface="Arial"/>
            </a:rPr>
            <a:t> Item: </a:t>
          </a: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0</xdr:col>
      <xdr:colOff>19050</xdr:colOff>
      <xdr:row>2</xdr:row>
      <xdr:rowOff>35801</xdr:rowOff>
    </xdr:from>
    <xdr:ext cx="454269" cy="234462"/>
    <xdr:sp macro="" textlink="">
      <xdr:nvSpPr>
        <xdr:cNvPr id="2" name="Rectangle 229">
          <a:extLst>
            <a:ext uri="{FF2B5EF4-FFF2-40B4-BE49-F238E27FC236}">
              <a16:creationId xmlns:a16="http://schemas.microsoft.com/office/drawing/2014/main" id="{D80D384A-5DCD-41C3-8AC7-98EDD4A7D347}"/>
            </a:ext>
          </a:extLst>
        </xdr:cNvPr>
        <xdr:cNvSpPr>
          <a:spLocks noChangeArrowheads="1"/>
        </xdr:cNvSpPr>
      </xdr:nvSpPr>
      <xdr:spPr bwMode="auto">
        <a:xfrm>
          <a:off x="19050" y="254876"/>
          <a:ext cx="454269" cy="234462"/>
        </a:xfrm>
        <a:prstGeom prst="rect">
          <a:avLst/>
        </a:prstGeom>
        <a:solidFill>
          <a:schemeClr val="bg1">
            <a:lumMod val="85000"/>
          </a:schemeClr>
        </a:solidFill>
        <a:ln>
          <a:noFill/>
        </a:ln>
      </xdr:spPr>
      <xdr:txBody>
        <a:bodyPr wrap="none" lIns="0" tIns="0" rIns="0" bIns="0" anchor="t" upright="1">
          <a:noAutofit/>
        </a:bodyPr>
        <a:lstStyle/>
        <a:p>
          <a:pPr algn="l" rtl="0">
            <a:defRPr sz="1000"/>
          </a:pPr>
          <a:r>
            <a:rPr lang="en-US" sz="800" b="0" i="0" u="none" strike="noStrike" baseline="0">
              <a:solidFill>
                <a:srgbClr val="000000"/>
              </a:solidFill>
              <a:latin typeface="Arial"/>
              <a:cs typeface="Arial"/>
            </a:rPr>
            <a:t> For BIR  </a:t>
          </a:r>
        </a:p>
        <a:p>
          <a:pPr algn="l" rtl="0">
            <a:defRPr sz="1000"/>
          </a:pPr>
          <a:r>
            <a:rPr lang="en-US" sz="800" b="0" i="0" u="none" strike="noStrike" baseline="0">
              <a:solidFill>
                <a:srgbClr val="000000"/>
              </a:solidFill>
              <a:latin typeface="Arial"/>
              <a:cs typeface="Arial"/>
            </a:rPr>
            <a:t> Use Only </a:t>
          </a:r>
        </a:p>
      </xdr:txBody>
    </xdr:sp>
    <xdr:clientData/>
  </xdr:oneCellAnchor>
  <xdr:oneCellAnchor>
    <xdr:from>
      <xdr:col>2</xdr:col>
      <xdr:colOff>111371</xdr:colOff>
      <xdr:row>2</xdr:row>
      <xdr:rowOff>35801</xdr:rowOff>
    </xdr:from>
    <xdr:ext cx="300404" cy="234462"/>
    <xdr:sp macro="" textlink="">
      <xdr:nvSpPr>
        <xdr:cNvPr id="3" name="Rectangle 229">
          <a:extLst>
            <a:ext uri="{FF2B5EF4-FFF2-40B4-BE49-F238E27FC236}">
              <a16:creationId xmlns:a16="http://schemas.microsoft.com/office/drawing/2014/main" id="{25FD5C2F-2338-416B-A990-23760C62E5B3}"/>
            </a:ext>
          </a:extLst>
        </xdr:cNvPr>
        <xdr:cNvSpPr>
          <a:spLocks noChangeArrowheads="1"/>
        </xdr:cNvSpPr>
      </xdr:nvSpPr>
      <xdr:spPr bwMode="auto">
        <a:xfrm>
          <a:off x="473321" y="254876"/>
          <a:ext cx="300404" cy="234462"/>
        </a:xfrm>
        <a:prstGeom prst="rect">
          <a:avLst/>
        </a:prstGeom>
        <a:noFill/>
        <a:ln>
          <a:noFill/>
        </a:ln>
      </xdr:spPr>
      <xdr:txBody>
        <a:bodyPr wrap="none" lIns="0" tIns="0" rIns="0" bIns="0" anchor="t" upright="1">
          <a:noAutofit/>
        </a:bodyPr>
        <a:lstStyle/>
        <a:p>
          <a:pPr algn="l" rtl="0">
            <a:defRPr sz="1000"/>
          </a:pPr>
          <a:r>
            <a:rPr lang="en-US" sz="800" b="0" i="0" u="none" strike="noStrike" baseline="0">
              <a:solidFill>
                <a:srgbClr val="000000"/>
              </a:solidFill>
              <a:latin typeface="Arial"/>
              <a:cs typeface="Arial"/>
            </a:rPr>
            <a:t> BCS/</a:t>
          </a:r>
        </a:p>
        <a:p>
          <a:pPr algn="l" rtl="0">
            <a:defRPr sz="1000"/>
          </a:pPr>
          <a:r>
            <a:rPr lang="en-US" sz="800" b="0" i="0" u="none" strike="noStrike" baseline="0">
              <a:solidFill>
                <a:srgbClr val="000000"/>
              </a:solidFill>
              <a:latin typeface="Arial"/>
              <a:cs typeface="Arial"/>
            </a:rPr>
            <a:t> Item: </a:t>
          </a:r>
        </a:p>
      </xdr:txBody>
    </xdr:sp>
    <xdr:clientData/>
  </xdr:oneCellAnchor>
  <xdr:twoCellAnchor editAs="oneCell">
    <xdr:from>
      <xdr:col>13</xdr:col>
      <xdr:colOff>68396</xdr:colOff>
      <xdr:row>0</xdr:row>
      <xdr:rowOff>26724</xdr:rowOff>
    </xdr:from>
    <xdr:to>
      <xdr:col>16</xdr:col>
      <xdr:colOff>39821</xdr:colOff>
      <xdr:row>3</xdr:row>
      <xdr:rowOff>114300</xdr:rowOff>
    </xdr:to>
    <xdr:pic>
      <xdr:nvPicPr>
        <xdr:cNvPr id="4" name="Picture 232">
          <a:extLst>
            <a:ext uri="{FF2B5EF4-FFF2-40B4-BE49-F238E27FC236}">
              <a16:creationId xmlns:a16="http://schemas.microsoft.com/office/drawing/2014/main" id="{FAFCB053-A41E-4838-A9D3-84B882819032}"/>
            </a:ext>
          </a:extLst>
        </xdr:cNvPr>
        <xdr:cNvPicPr>
          <a:picLocks noChangeAspect="1" noChangeArrowheads="1"/>
        </xdr:cNvPicPr>
      </xdr:nvPicPr>
      <xdr:blipFill>
        <a:blip xmlns:r="http://schemas.openxmlformats.org/officeDocument/2006/relationships" r:embed="rId1" cstate="print">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1071" y="26724"/>
          <a:ext cx="514350" cy="44952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77276</xdr:colOff>
      <xdr:row>4</xdr:row>
      <xdr:rowOff>12370</xdr:rowOff>
    </xdr:from>
    <xdr:to>
      <xdr:col>6</xdr:col>
      <xdr:colOff>180710</xdr:colOff>
      <xdr:row>8</xdr:row>
      <xdr:rowOff>109021</xdr:rowOff>
    </xdr:to>
    <xdr:grpSp>
      <xdr:nvGrpSpPr>
        <xdr:cNvPr id="5" name="Group 4">
          <a:extLst>
            <a:ext uri="{FF2B5EF4-FFF2-40B4-BE49-F238E27FC236}">
              <a16:creationId xmlns:a16="http://schemas.microsoft.com/office/drawing/2014/main" id="{5EF62D98-BABF-4936-81BD-3C80B29330E1}"/>
            </a:ext>
          </a:extLst>
        </xdr:cNvPr>
        <xdr:cNvGrpSpPr/>
      </xdr:nvGrpSpPr>
      <xdr:grpSpPr>
        <a:xfrm>
          <a:off x="77276" y="528185"/>
          <a:ext cx="1193680" cy="589021"/>
          <a:chOff x="7327" y="521368"/>
          <a:chExt cx="1179635" cy="669862"/>
        </a:xfrm>
      </xdr:grpSpPr>
      <xdr:sp macro="" textlink="">
        <xdr:nvSpPr>
          <xdr:cNvPr id="6" name="Rectangle 234">
            <a:extLst>
              <a:ext uri="{FF2B5EF4-FFF2-40B4-BE49-F238E27FC236}">
                <a16:creationId xmlns:a16="http://schemas.microsoft.com/office/drawing/2014/main" id="{A0C7C96C-E9BB-5AD0-06A0-C65A2372EE87}"/>
              </a:ext>
            </a:extLst>
          </xdr:cNvPr>
          <xdr:cNvSpPr>
            <a:spLocks noChangeArrowheads="1"/>
          </xdr:cNvSpPr>
        </xdr:nvSpPr>
        <xdr:spPr bwMode="auto">
          <a:xfrm>
            <a:off x="86612" y="635773"/>
            <a:ext cx="815465" cy="43096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upright="1">
            <a:spAutoFit/>
          </a:bodyPr>
          <a:lstStyle/>
          <a:p>
            <a:pPr algn="l" rtl="0">
              <a:defRPr sz="1000"/>
            </a:pPr>
            <a:r>
              <a:rPr lang="en-US" sz="2600" b="1" i="0" u="none" strike="noStrike" baseline="0">
                <a:solidFill>
                  <a:srgbClr val="000000"/>
                </a:solidFill>
                <a:latin typeface="Arial"/>
                <a:cs typeface="Arial"/>
              </a:rPr>
              <a:t> 2307</a:t>
            </a:r>
          </a:p>
        </xdr:txBody>
      </xdr:sp>
      <xdr:sp macro="" textlink="">
        <xdr:nvSpPr>
          <xdr:cNvPr id="7" name="Text Box 241">
            <a:extLst>
              <a:ext uri="{FF2B5EF4-FFF2-40B4-BE49-F238E27FC236}">
                <a16:creationId xmlns:a16="http://schemas.microsoft.com/office/drawing/2014/main" id="{2DE849F7-3B12-7545-086A-8197426C6607}"/>
              </a:ext>
            </a:extLst>
          </xdr:cNvPr>
          <xdr:cNvSpPr txBox="1">
            <a:spLocks noChangeArrowheads="1"/>
          </xdr:cNvSpPr>
        </xdr:nvSpPr>
        <xdr:spPr bwMode="auto">
          <a:xfrm>
            <a:off x="7327" y="1003826"/>
            <a:ext cx="1179635" cy="18740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22860" rIns="0" bIns="0" anchor="t" upright="1"/>
          <a:lstStyle/>
          <a:p>
            <a:pPr algn="l" rtl="0">
              <a:defRPr sz="1000"/>
            </a:pPr>
            <a:r>
              <a:rPr lang="en-US" sz="800" b="0" i="0" u="none" strike="noStrike" baseline="0">
                <a:solidFill>
                  <a:srgbClr val="000000"/>
                </a:solidFill>
                <a:latin typeface="Arial"/>
                <a:cs typeface="Arial"/>
              </a:rPr>
              <a:t>January 2018 (ENCS)</a:t>
            </a:r>
          </a:p>
        </xdr:txBody>
      </xdr:sp>
      <xdr:sp macro="" textlink="">
        <xdr:nvSpPr>
          <xdr:cNvPr id="8" name="Text Box 242">
            <a:extLst>
              <a:ext uri="{FF2B5EF4-FFF2-40B4-BE49-F238E27FC236}">
                <a16:creationId xmlns:a16="http://schemas.microsoft.com/office/drawing/2014/main" id="{327ADE61-7DF7-C5C6-1691-CD11145217CE}"/>
              </a:ext>
            </a:extLst>
          </xdr:cNvPr>
          <xdr:cNvSpPr txBox="1">
            <a:spLocks noChangeArrowheads="1"/>
          </xdr:cNvSpPr>
        </xdr:nvSpPr>
        <xdr:spPr bwMode="auto">
          <a:xfrm>
            <a:off x="165593" y="521368"/>
            <a:ext cx="823543" cy="148004"/>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22860" rIns="0" bIns="0" anchor="t" upright="1"/>
          <a:lstStyle/>
          <a:p>
            <a:pPr algn="l" rtl="0">
              <a:defRPr sz="1000"/>
            </a:pPr>
            <a:r>
              <a:rPr lang="en-US" sz="800" b="0" i="0" u="none" strike="noStrike" baseline="0">
                <a:solidFill>
                  <a:srgbClr val="000000"/>
                </a:solidFill>
                <a:latin typeface="Arial"/>
                <a:cs typeface="Arial"/>
              </a:rPr>
              <a:t> BIR Form No.</a:t>
            </a:r>
          </a:p>
        </xdr:txBody>
      </xdr:sp>
    </xdr:grpSp>
    <xdr:clientData/>
  </xdr:twoCellAnchor>
  <xdr:twoCellAnchor>
    <xdr:from>
      <xdr:col>34</xdr:col>
      <xdr:colOff>160811</xdr:colOff>
      <xdr:row>7</xdr:row>
      <xdr:rowOff>74222</xdr:rowOff>
    </xdr:from>
    <xdr:to>
      <xdr:col>41</xdr:col>
      <xdr:colOff>145695</xdr:colOff>
      <xdr:row>9</xdr:row>
      <xdr:rowOff>35300</xdr:rowOff>
    </xdr:to>
    <xdr:sp macro="" textlink="">
      <xdr:nvSpPr>
        <xdr:cNvPr id="9" name="Text Box 2">
          <a:extLst>
            <a:ext uri="{FF2B5EF4-FFF2-40B4-BE49-F238E27FC236}">
              <a16:creationId xmlns:a16="http://schemas.microsoft.com/office/drawing/2014/main" id="{8DEB86DD-7948-4132-8C3E-5415975D32AE}"/>
            </a:ext>
          </a:extLst>
        </xdr:cNvPr>
        <xdr:cNvSpPr txBox="1">
          <a:spLocks noChangeArrowheads="1"/>
        </xdr:cNvSpPr>
      </xdr:nvSpPr>
      <xdr:spPr bwMode="auto">
        <a:xfrm>
          <a:off x="6342536" y="979097"/>
          <a:ext cx="1127884" cy="208728"/>
        </a:xfrm>
        <a:prstGeom prst="rect">
          <a:avLst/>
        </a:prstGeom>
        <a:noFill/>
        <a:ln w="9525">
          <a:noFill/>
          <a:miter lim="800000"/>
          <a:headEnd/>
          <a:tailEnd/>
        </a:ln>
      </xdr:spPr>
      <xdr:txBody>
        <a:bodyPr rot="0" vert="horz" wrap="square" lIns="91440" tIns="45720" rIns="91440" bIns="45720" anchor="t" anchorCtr="0">
          <a:spAutoFit/>
        </a:bodyPr>
        <a:lstStyle/>
        <a:p>
          <a:pPr marL="0" marR="0">
            <a:spcBef>
              <a:spcPts val="0"/>
            </a:spcBef>
            <a:spcAft>
              <a:spcPts val="0"/>
            </a:spcAft>
          </a:pPr>
          <a:r>
            <a:rPr lang="en-US" sz="800">
              <a:effectLst/>
              <a:latin typeface="Arial" panose="020B0604020202020204" pitchFamily="34" charset="0"/>
              <a:ea typeface="Times New Roman" panose="02020603050405020304" pitchFamily="18" charset="0"/>
            </a:rPr>
            <a:t>2307 01/18ENCS</a:t>
          </a: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1</xdr:col>
      <xdr:colOff>7226</xdr:colOff>
      <xdr:row>27</xdr:row>
      <xdr:rowOff>9525</xdr:rowOff>
    </xdr:from>
    <xdr:to>
      <xdr:col>40</xdr:col>
      <xdr:colOff>19050</xdr:colOff>
      <xdr:row>28</xdr:row>
      <xdr:rowOff>104775</xdr:rowOff>
    </xdr:to>
    <xdr:sp macro="" textlink="">
      <xdr:nvSpPr>
        <xdr:cNvPr id="10" name="Text Box 2">
          <a:extLst>
            <a:ext uri="{FF2B5EF4-FFF2-40B4-BE49-F238E27FC236}">
              <a16:creationId xmlns:a16="http://schemas.microsoft.com/office/drawing/2014/main" id="{518FFC98-2B35-4E4E-A6DC-E6184A4F5827}"/>
            </a:ext>
          </a:extLst>
        </xdr:cNvPr>
        <xdr:cNvSpPr txBox="1">
          <a:spLocks noChangeArrowheads="1"/>
        </xdr:cNvSpPr>
      </xdr:nvSpPr>
      <xdr:spPr bwMode="auto">
        <a:xfrm>
          <a:off x="188201" y="2971800"/>
          <a:ext cx="7098424" cy="228600"/>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32</xdr:col>
      <xdr:colOff>77702</xdr:colOff>
      <xdr:row>71</xdr:row>
      <xdr:rowOff>34648</xdr:rowOff>
    </xdr:from>
    <xdr:to>
      <xdr:col>41</xdr:col>
      <xdr:colOff>940</xdr:colOff>
      <xdr:row>72</xdr:row>
      <xdr:rowOff>116103</xdr:rowOff>
    </xdr:to>
    <xdr:grpSp>
      <xdr:nvGrpSpPr>
        <xdr:cNvPr id="11" name="Group 10">
          <a:extLst>
            <a:ext uri="{FF2B5EF4-FFF2-40B4-BE49-F238E27FC236}">
              <a16:creationId xmlns:a16="http://schemas.microsoft.com/office/drawing/2014/main" id="{2B0BDC84-A8EC-4092-994C-F1020FFDA138}"/>
            </a:ext>
          </a:extLst>
        </xdr:cNvPr>
        <xdr:cNvGrpSpPr/>
      </xdr:nvGrpSpPr>
      <xdr:grpSpPr>
        <a:xfrm>
          <a:off x="5921656" y="9717910"/>
          <a:ext cx="1435515" cy="216270"/>
          <a:chOff x="198045" y="3663821"/>
          <a:chExt cx="1310870" cy="227822"/>
        </a:xfrm>
      </xdr:grpSpPr>
      <xdr:grpSp>
        <xdr:nvGrpSpPr>
          <xdr:cNvPr id="12" name="Group 11">
            <a:extLst>
              <a:ext uri="{FF2B5EF4-FFF2-40B4-BE49-F238E27FC236}">
                <a16:creationId xmlns:a16="http://schemas.microsoft.com/office/drawing/2014/main" id="{8DA4D237-1E8F-8AC3-07AF-404D097A2B7B}"/>
              </a:ext>
            </a:extLst>
          </xdr:cNvPr>
          <xdr:cNvGrpSpPr/>
        </xdr:nvGrpSpPr>
        <xdr:grpSpPr>
          <a:xfrm>
            <a:off x="198045" y="3663821"/>
            <a:ext cx="655434" cy="227822"/>
            <a:chOff x="1509155" y="1738004"/>
            <a:chExt cx="909204" cy="228600"/>
          </a:xfrm>
          <a:solidFill>
            <a:sysClr val="window" lastClr="FFFFFF"/>
          </a:solidFill>
        </xdr:grpSpPr>
        <xdr:sp macro="" textlink="">
          <xdr:nvSpPr>
            <xdr:cNvPr id="18" name="Text Box 2">
              <a:extLst>
                <a:ext uri="{FF2B5EF4-FFF2-40B4-BE49-F238E27FC236}">
                  <a16:creationId xmlns:a16="http://schemas.microsoft.com/office/drawing/2014/main" id="{A92EA768-9571-0AB7-F498-28D7C8E81382}"/>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19" name="Straight Connector 18">
              <a:extLst>
                <a:ext uri="{FF2B5EF4-FFF2-40B4-BE49-F238E27FC236}">
                  <a16:creationId xmlns:a16="http://schemas.microsoft.com/office/drawing/2014/main" id="{18AB3A40-47FB-EE76-41E4-848875727E27}"/>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0" name="Straight Connector 19">
              <a:extLst>
                <a:ext uri="{FF2B5EF4-FFF2-40B4-BE49-F238E27FC236}">
                  <a16:creationId xmlns:a16="http://schemas.microsoft.com/office/drawing/2014/main" id="{B60056F6-83A3-3AF8-606C-02A279961648}"/>
                </a:ext>
              </a:extLst>
            </xdr:cNvPr>
            <xdr:cNvCxnSpPr>
              <a:stCxn id="18"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1" name="Straight Connector 20">
              <a:extLst>
                <a:ext uri="{FF2B5EF4-FFF2-40B4-BE49-F238E27FC236}">
                  <a16:creationId xmlns:a16="http://schemas.microsoft.com/office/drawing/2014/main" id="{7FBC2498-50C3-E855-4D5E-756D7A6AC21C}"/>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13" name="Group 12">
            <a:extLst>
              <a:ext uri="{FF2B5EF4-FFF2-40B4-BE49-F238E27FC236}">
                <a16:creationId xmlns:a16="http://schemas.microsoft.com/office/drawing/2014/main" id="{598A968B-D85A-0CD1-AD06-6EA0D73FF23A}"/>
              </a:ext>
            </a:extLst>
          </xdr:cNvPr>
          <xdr:cNvGrpSpPr/>
        </xdr:nvGrpSpPr>
        <xdr:grpSpPr>
          <a:xfrm>
            <a:off x="853481" y="3663821"/>
            <a:ext cx="655434" cy="227822"/>
            <a:chOff x="1509155" y="1738004"/>
            <a:chExt cx="909204" cy="228600"/>
          </a:xfrm>
          <a:solidFill>
            <a:sysClr val="window" lastClr="FFFFFF"/>
          </a:solidFill>
        </xdr:grpSpPr>
        <xdr:sp macro="" textlink="">
          <xdr:nvSpPr>
            <xdr:cNvPr id="14" name="Text Box 2">
              <a:extLst>
                <a:ext uri="{FF2B5EF4-FFF2-40B4-BE49-F238E27FC236}">
                  <a16:creationId xmlns:a16="http://schemas.microsoft.com/office/drawing/2014/main" id="{6CDE79FE-25FA-98D0-D3EC-1C94F7DBD45E}"/>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15" name="Straight Connector 14">
              <a:extLst>
                <a:ext uri="{FF2B5EF4-FFF2-40B4-BE49-F238E27FC236}">
                  <a16:creationId xmlns:a16="http://schemas.microsoft.com/office/drawing/2014/main" id="{4CE5514F-4F6C-EADF-CB36-CB7CF03E25AA}"/>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6" name="Straight Connector 15">
              <a:extLst>
                <a:ext uri="{FF2B5EF4-FFF2-40B4-BE49-F238E27FC236}">
                  <a16:creationId xmlns:a16="http://schemas.microsoft.com/office/drawing/2014/main" id="{B3759188-C87D-0444-A222-075C16473B2C}"/>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7" name="Straight Connector 16">
              <a:extLst>
                <a:ext uri="{FF2B5EF4-FFF2-40B4-BE49-F238E27FC236}">
                  <a16:creationId xmlns:a16="http://schemas.microsoft.com/office/drawing/2014/main" id="{1A2ACCF4-F895-B91D-FBFC-F27D3F4E79B8}"/>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20</xdr:col>
      <xdr:colOff>109607</xdr:colOff>
      <xdr:row>71</xdr:row>
      <xdr:rowOff>34645</xdr:rowOff>
    </xdr:from>
    <xdr:to>
      <xdr:col>27</xdr:col>
      <xdr:colOff>161878</xdr:colOff>
      <xdr:row>72</xdr:row>
      <xdr:rowOff>116101</xdr:rowOff>
    </xdr:to>
    <xdr:grpSp>
      <xdr:nvGrpSpPr>
        <xdr:cNvPr id="22" name="Group 21">
          <a:extLst>
            <a:ext uri="{FF2B5EF4-FFF2-40B4-BE49-F238E27FC236}">
              <a16:creationId xmlns:a16="http://schemas.microsoft.com/office/drawing/2014/main" id="{3F4ABC9A-B141-4991-AE9B-5D1919BFD9AE}"/>
            </a:ext>
          </a:extLst>
        </xdr:cNvPr>
        <xdr:cNvGrpSpPr/>
      </xdr:nvGrpSpPr>
      <xdr:grpSpPr>
        <a:xfrm>
          <a:off x="3773069" y="9717907"/>
          <a:ext cx="1324224" cy="216271"/>
          <a:chOff x="198045" y="3663821"/>
          <a:chExt cx="1310870" cy="227822"/>
        </a:xfrm>
      </xdr:grpSpPr>
      <xdr:grpSp>
        <xdr:nvGrpSpPr>
          <xdr:cNvPr id="23" name="Group 22">
            <a:extLst>
              <a:ext uri="{FF2B5EF4-FFF2-40B4-BE49-F238E27FC236}">
                <a16:creationId xmlns:a16="http://schemas.microsoft.com/office/drawing/2014/main" id="{7E73FB83-F4C5-B516-DAB7-7C6E920AE3B8}"/>
              </a:ext>
            </a:extLst>
          </xdr:cNvPr>
          <xdr:cNvGrpSpPr/>
        </xdr:nvGrpSpPr>
        <xdr:grpSpPr>
          <a:xfrm>
            <a:off x="198045" y="3663821"/>
            <a:ext cx="655434" cy="227822"/>
            <a:chOff x="1509155" y="1738004"/>
            <a:chExt cx="909204" cy="228600"/>
          </a:xfrm>
          <a:solidFill>
            <a:sysClr val="window" lastClr="FFFFFF"/>
          </a:solidFill>
        </xdr:grpSpPr>
        <xdr:sp macro="" textlink="">
          <xdr:nvSpPr>
            <xdr:cNvPr id="29" name="Text Box 2">
              <a:extLst>
                <a:ext uri="{FF2B5EF4-FFF2-40B4-BE49-F238E27FC236}">
                  <a16:creationId xmlns:a16="http://schemas.microsoft.com/office/drawing/2014/main" id="{4117C157-93EE-429B-8C57-0070B6486827}"/>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30" name="Straight Connector 29">
              <a:extLst>
                <a:ext uri="{FF2B5EF4-FFF2-40B4-BE49-F238E27FC236}">
                  <a16:creationId xmlns:a16="http://schemas.microsoft.com/office/drawing/2014/main" id="{6E4C69BC-9F05-8653-9329-0DD23A8FEBFA}"/>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1" name="Straight Connector 30">
              <a:extLst>
                <a:ext uri="{FF2B5EF4-FFF2-40B4-BE49-F238E27FC236}">
                  <a16:creationId xmlns:a16="http://schemas.microsoft.com/office/drawing/2014/main" id="{F6462409-4340-87A7-15D9-0212E9C47BB8}"/>
                </a:ext>
              </a:extLst>
            </xdr:cNvPr>
            <xdr:cNvCxnSpPr>
              <a:stCxn id="29"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2" name="Straight Connector 31">
              <a:extLst>
                <a:ext uri="{FF2B5EF4-FFF2-40B4-BE49-F238E27FC236}">
                  <a16:creationId xmlns:a16="http://schemas.microsoft.com/office/drawing/2014/main" id="{8594DDAC-EF4D-E81E-FCD3-3A58E5636393}"/>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24" name="Group 23">
            <a:extLst>
              <a:ext uri="{FF2B5EF4-FFF2-40B4-BE49-F238E27FC236}">
                <a16:creationId xmlns:a16="http://schemas.microsoft.com/office/drawing/2014/main" id="{D70F8091-EAD5-EFFB-7374-80596589F0AB}"/>
              </a:ext>
            </a:extLst>
          </xdr:cNvPr>
          <xdr:cNvGrpSpPr/>
        </xdr:nvGrpSpPr>
        <xdr:grpSpPr>
          <a:xfrm>
            <a:off x="853481" y="3663821"/>
            <a:ext cx="655434" cy="227822"/>
            <a:chOff x="1509155" y="1738004"/>
            <a:chExt cx="909204" cy="228600"/>
          </a:xfrm>
          <a:solidFill>
            <a:sysClr val="window" lastClr="FFFFFF"/>
          </a:solidFill>
        </xdr:grpSpPr>
        <xdr:sp macro="" textlink="">
          <xdr:nvSpPr>
            <xdr:cNvPr id="25" name="Text Box 2">
              <a:extLst>
                <a:ext uri="{FF2B5EF4-FFF2-40B4-BE49-F238E27FC236}">
                  <a16:creationId xmlns:a16="http://schemas.microsoft.com/office/drawing/2014/main" id="{B3328169-E276-B766-6147-EFF510208798}"/>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26" name="Straight Connector 25">
              <a:extLst>
                <a:ext uri="{FF2B5EF4-FFF2-40B4-BE49-F238E27FC236}">
                  <a16:creationId xmlns:a16="http://schemas.microsoft.com/office/drawing/2014/main" id="{3DC45C41-9230-6BAD-137B-498CA359BCEE}"/>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7" name="Straight Connector 26">
              <a:extLst>
                <a:ext uri="{FF2B5EF4-FFF2-40B4-BE49-F238E27FC236}">
                  <a16:creationId xmlns:a16="http://schemas.microsoft.com/office/drawing/2014/main" id="{0CE9EFF0-08DE-5798-86A7-934C17483DE0}"/>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8" name="Straight Connector 27">
              <a:extLst>
                <a:ext uri="{FF2B5EF4-FFF2-40B4-BE49-F238E27FC236}">
                  <a16:creationId xmlns:a16="http://schemas.microsoft.com/office/drawing/2014/main" id="{9E760B7E-C897-CA12-335B-9EF4AFB8FAE6}"/>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8</xdr:col>
      <xdr:colOff>25260</xdr:colOff>
      <xdr:row>71</xdr:row>
      <xdr:rowOff>34646</xdr:rowOff>
    </xdr:from>
    <xdr:to>
      <xdr:col>16</xdr:col>
      <xdr:colOff>118458</xdr:colOff>
      <xdr:row>72</xdr:row>
      <xdr:rowOff>118347</xdr:rowOff>
    </xdr:to>
    <xdr:sp macro="" textlink="">
      <xdr:nvSpPr>
        <xdr:cNvPr id="33" name="Text Box 2">
          <a:extLst>
            <a:ext uri="{FF2B5EF4-FFF2-40B4-BE49-F238E27FC236}">
              <a16:creationId xmlns:a16="http://schemas.microsoft.com/office/drawing/2014/main" id="{4F0DC42E-E3B2-47F5-BE9E-B8526DFD5D8B}"/>
            </a:ext>
          </a:extLst>
        </xdr:cNvPr>
        <xdr:cNvSpPr txBox="1">
          <a:spLocks noChangeArrowheads="1"/>
        </xdr:cNvSpPr>
      </xdr:nvSpPr>
      <xdr:spPr bwMode="auto">
        <a:xfrm>
          <a:off x="1473060" y="9721571"/>
          <a:ext cx="1540998" cy="226576"/>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lientData/>
  </xdr:twoCellAnchor>
  <xdr:twoCellAnchor>
    <xdr:from>
      <xdr:col>32</xdr:col>
      <xdr:colOff>78828</xdr:colOff>
      <xdr:row>79</xdr:row>
      <xdr:rowOff>34646</xdr:rowOff>
    </xdr:from>
    <xdr:to>
      <xdr:col>41</xdr:col>
      <xdr:colOff>2066</xdr:colOff>
      <xdr:row>80</xdr:row>
      <xdr:rowOff>116103</xdr:rowOff>
    </xdr:to>
    <xdr:grpSp>
      <xdr:nvGrpSpPr>
        <xdr:cNvPr id="34" name="Group 33">
          <a:extLst>
            <a:ext uri="{FF2B5EF4-FFF2-40B4-BE49-F238E27FC236}">
              <a16:creationId xmlns:a16="http://schemas.microsoft.com/office/drawing/2014/main" id="{F0F309F8-6717-4728-85B2-69C7C4B41C87}"/>
            </a:ext>
          </a:extLst>
        </xdr:cNvPr>
        <xdr:cNvGrpSpPr/>
      </xdr:nvGrpSpPr>
      <xdr:grpSpPr>
        <a:xfrm>
          <a:off x="5922782" y="10761261"/>
          <a:ext cx="1435515" cy="216273"/>
          <a:chOff x="198045" y="3663821"/>
          <a:chExt cx="1310870" cy="227822"/>
        </a:xfrm>
      </xdr:grpSpPr>
      <xdr:grpSp>
        <xdr:nvGrpSpPr>
          <xdr:cNvPr id="35" name="Group 34">
            <a:extLst>
              <a:ext uri="{FF2B5EF4-FFF2-40B4-BE49-F238E27FC236}">
                <a16:creationId xmlns:a16="http://schemas.microsoft.com/office/drawing/2014/main" id="{8E5201E1-02D3-A8E3-DB79-E30110C6C965}"/>
              </a:ext>
            </a:extLst>
          </xdr:cNvPr>
          <xdr:cNvGrpSpPr/>
        </xdr:nvGrpSpPr>
        <xdr:grpSpPr>
          <a:xfrm>
            <a:off x="198045" y="3663821"/>
            <a:ext cx="655434" cy="227822"/>
            <a:chOff x="1509155" y="1738004"/>
            <a:chExt cx="909204" cy="228600"/>
          </a:xfrm>
          <a:solidFill>
            <a:sysClr val="window" lastClr="FFFFFF"/>
          </a:solidFill>
        </xdr:grpSpPr>
        <xdr:sp macro="" textlink="">
          <xdr:nvSpPr>
            <xdr:cNvPr id="41" name="Text Box 2">
              <a:extLst>
                <a:ext uri="{FF2B5EF4-FFF2-40B4-BE49-F238E27FC236}">
                  <a16:creationId xmlns:a16="http://schemas.microsoft.com/office/drawing/2014/main" id="{32DE92E2-DA86-69C1-6A90-081B38145E68}"/>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2" name="Straight Connector 41">
              <a:extLst>
                <a:ext uri="{FF2B5EF4-FFF2-40B4-BE49-F238E27FC236}">
                  <a16:creationId xmlns:a16="http://schemas.microsoft.com/office/drawing/2014/main" id="{06E3BFB8-01FE-3BFB-2DED-8DCD3D02D563}"/>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3" name="Straight Connector 42">
              <a:extLst>
                <a:ext uri="{FF2B5EF4-FFF2-40B4-BE49-F238E27FC236}">
                  <a16:creationId xmlns:a16="http://schemas.microsoft.com/office/drawing/2014/main" id="{87BF1E1A-0AE8-C843-958A-0C607CCFDD51}"/>
                </a:ext>
              </a:extLst>
            </xdr:cNvPr>
            <xdr:cNvCxnSpPr>
              <a:stCxn id="41"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4" name="Straight Connector 43">
              <a:extLst>
                <a:ext uri="{FF2B5EF4-FFF2-40B4-BE49-F238E27FC236}">
                  <a16:creationId xmlns:a16="http://schemas.microsoft.com/office/drawing/2014/main" id="{260FCBC4-F332-7BE5-842D-CABDEDB331D8}"/>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36" name="Group 35">
            <a:extLst>
              <a:ext uri="{FF2B5EF4-FFF2-40B4-BE49-F238E27FC236}">
                <a16:creationId xmlns:a16="http://schemas.microsoft.com/office/drawing/2014/main" id="{EC9BA166-02F8-5F7E-9C5F-9C9740958C79}"/>
              </a:ext>
            </a:extLst>
          </xdr:cNvPr>
          <xdr:cNvGrpSpPr/>
        </xdr:nvGrpSpPr>
        <xdr:grpSpPr>
          <a:xfrm>
            <a:off x="853481" y="3663821"/>
            <a:ext cx="655434" cy="227822"/>
            <a:chOff x="1509155" y="1738004"/>
            <a:chExt cx="909204" cy="228600"/>
          </a:xfrm>
          <a:solidFill>
            <a:sysClr val="window" lastClr="FFFFFF"/>
          </a:solidFill>
        </xdr:grpSpPr>
        <xdr:sp macro="" textlink="">
          <xdr:nvSpPr>
            <xdr:cNvPr id="37" name="Text Box 2">
              <a:extLst>
                <a:ext uri="{FF2B5EF4-FFF2-40B4-BE49-F238E27FC236}">
                  <a16:creationId xmlns:a16="http://schemas.microsoft.com/office/drawing/2014/main" id="{D493B4F8-D21D-AAFD-4CEF-5A7EA43F53CF}"/>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38" name="Straight Connector 37">
              <a:extLst>
                <a:ext uri="{FF2B5EF4-FFF2-40B4-BE49-F238E27FC236}">
                  <a16:creationId xmlns:a16="http://schemas.microsoft.com/office/drawing/2014/main" id="{3443EC6E-1C8E-EF29-3862-D40F07B54C06}"/>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39" name="Straight Connector 38">
              <a:extLst>
                <a:ext uri="{FF2B5EF4-FFF2-40B4-BE49-F238E27FC236}">
                  <a16:creationId xmlns:a16="http://schemas.microsoft.com/office/drawing/2014/main" id="{F495730A-4996-89E3-7FB5-A1A552B662F7}"/>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40" name="Straight Connector 39">
              <a:extLst>
                <a:ext uri="{FF2B5EF4-FFF2-40B4-BE49-F238E27FC236}">
                  <a16:creationId xmlns:a16="http://schemas.microsoft.com/office/drawing/2014/main" id="{9098D8C0-D032-B5CC-D37B-93F1DE9EB838}"/>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20</xdr:col>
      <xdr:colOff>110733</xdr:colOff>
      <xdr:row>79</xdr:row>
      <xdr:rowOff>34645</xdr:rowOff>
    </xdr:from>
    <xdr:to>
      <xdr:col>27</xdr:col>
      <xdr:colOff>163004</xdr:colOff>
      <xdr:row>80</xdr:row>
      <xdr:rowOff>116102</xdr:rowOff>
    </xdr:to>
    <xdr:grpSp>
      <xdr:nvGrpSpPr>
        <xdr:cNvPr id="45" name="Group 44">
          <a:extLst>
            <a:ext uri="{FF2B5EF4-FFF2-40B4-BE49-F238E27FC236}">
              <a16:creationId xmlns:a16="http://schemas.microsoft.com/office/drawing/2014/main" id="{C57A4CD3-6B67-45F1-8C57-CF3586A07246}"/>
            </a:ext>
          </a:extLst>
        </xdr:cNvPr>
        <xdr:cNvGrpSpPr/>
      </xdr:nvGrpSpPr>
      <xdr:grpSpPr>
        <a:xfrm>
          <a:off x="3774195" y="10761260"/>
          <a:ext cx="1324224" cy="216273"/>
          <a:chOff x="198045" y="3663821"/>
          <a:chExt cx="1310870" cy="227822"/>
        </a:xfrm>
      </xdr:grpSpPr>
      <xdr:grpSp>
        <xdr:nvGrpSpPr>
          <xdr:cNvPr id="46" name="Group 45">
            <a:extLst>
              <a:ext uri="{FF2B5EF4-FFF2-40B4-BE49-F238E27FC236}">
                <a16:creationId xmlns:a16="http://schemas.microsoft.com/office/drawing/2014/main" id="{20EFE7F1-2C5E-42B8-0235-FB1B7264E1D6}"/>
              </a:ext>
            </a:extLst>
          </xdr:cNvPr>
          <xdr:cNvGrpSpPr/>
        </xdr:nvGrpSpPr>
        <xdr:grpSpPr>
          <a:xfrm>
            <a:off x="198045" y="3663821"/>
            <a:ext cx="655434" cy="227822"/>
            <a:chOff x="1509155" y="1738004"/>
            <a:chExt cx="909204" cy="228600"/>
          </a:xfrm>
          <a:solidFill>
            <a:sysClr val="window" lastClr="FFFFFF"/>
          </a:solidFill>
        </xdr:grpSpPr>
        <xdr:sp macro="" textlink="">
          <xdr:nvSpPr>
            <xdr:cNvPr id="52" name="Text Box 2">
              <a:extLst>
                <a:ext uri="{FF2B5EF4-FFF2-40B4-BE49-F238E27FC236}">
                  <a16:creationId xmlns:a16="http://schemas.microsoft.com/office/drawing/2014/main" id="{99FED719-32AB-75C7-1B3C-419ADD9067C5}"/>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53" name="Straight Connector 52">
              <a:extLst>
                <a:ext uri="{FF2B5EF4-FFF2-40B4-BE49-F238E27FC236}">
                  <a16:creationId xmlns:a16="http://schemas.microsoft.com/office/drawing/2014/main" id="{EF96A547-DF12-A003-0238-0D2630BF66AC}"/>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4" name="Straight Connector 53">
              <a:extLst>
                <a:ext uri="{FF2B5EF4-FFF2-40B4-BE49-F238E27FC236}">
                  <a16:creationId xmlns:a16="http://schemas.microsoft.com/office/drawing/2014/main" id="{472AFF88-F175-A7AB-5A5A-72CDD03A2B25}"/>
                </a:ext>
              </a:extLst>
            </xdr:cNvPr>
            <xdr:cNvCxnSpPr>
              <a:stCxn id="52" idx="0"/>
            </xdr:cNvCxnSpPr>
          </xdr:nvCxnSpPr>
          <xdr:spPr>
            <a:xfrm>
              <a:off x="1963757" y="1738004"/>
              <a:ext cx="3088" cy="22860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a:extLst>
                <a:ext uri="{FF2B5EF4-FFF2-40B4-BE49-F238E27FC236}">
                  <a16:creationId xmlns:a16="http://schemas.microsoft.com/office/drawing/2014/main" id="{F616835F-7DD0-08F9-EF74-A8349D7B7325}"/>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nvGrpSpPr>
          <xdr:cNvPr id="47" name="Group 46">
            <a:extLst>
              <a:ext uri="{FF2B5EF4-FFF2-40B4-BE49-F238E27FC236}">
                <a16:creationId xmlns:a16="http://schemas.microsoft.com/office/drawing/2014/main" id="{D35C2C32-545A-9B58-3ADD-A04541FC4F08}"/>
              </a:ext>
            </a:extLst>
          </xdr:cNvPr>
          <xdr:cNvGrpSpPr/>
        </xdr:nvGrpSpPr>
        <xdr:grpSpPr>
          <a:xfrm>
            <a:off x="853481" y="3663821"/>
            <a:ext cx="655434" cy="227822"/>
            <a:chOff x="1509155" y="1738004"/>
            <a:chExt cx="909204" cy="228600"/>
          </a:xfrm>
          <a:solidFill>
            <a:sysClr val="window" lastClr="FFFFFF"/>
          </a:solidFill>
        </xdr:grpSpPr>
        <xdr:sp macro="" textlink="">
          <xdr:nvSpPr>
            <xdr:cNvPr id="48" name="Text Box 2">
              <a:extLst>
                <a:ext uri="{FF2B5EF4-FFF2-40B4-BE49-F238E27FC236}">
                  <a16:creationId xmlns:a16="http://schemas.microsoft.com/office/drawing/2014/main" id="{B2ACD1E8-5C07-6642-DB5E-20800EDD4D5B}"/>
                </a:ext>
              </a:extLst>
            </xdr:cNvPr>
            <xdr:cNvSpPr txBox="1">
              <a:spLocks noChangeArrowheads="1"/>
            </xdr:cNvSpPr>
          </xdr:nvSpPr>
          <xdr:spPr bwMode="auto">
            <a:xfrm>
              <a:off x="1509155" y="1738004"/>
              <a:ext cx="909204" cy="228600"/>
            </a:xfrm>
            <a:prstGeom prst="rect">
              <a:avLst/>
            </a:prstGeom>
            <a:grp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xnSp macro="">
          <xdr:nvCxnSpPr>
            <xdr:cNvPr id="49" name="Straight Connector 48">
              <a:extLst>
                <a:ext uri="{FF2B5EF4-FFF2-40B4-BE49-F238E27FC236}">
                  <a16:creationId xmlns:a16="http://schemas.microsoft.com/office/drawing/2014/main" id="{2EB58456-A74E-0798-9A4F-152C6D59B349}"/>
                </a:ext>
              </a:extLst>
            </xdr:cNvPr>
            <xdr:cNvCxnSpPr/>
          </xdr:nvCxnSpPr>
          <xdr:spPr>
            <a:xfrm>
              <a:off x="1731820" y="1874262"/>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0" name="Straight Connector 49">
              <a:extLst>
                <a:ext uri="{FF2B5EF4-FFF2-40B4-BE49-F238E27FC236}">
                  <a16:creationId xmlns:a16="http://schemas.microsoft.com/office/drawing/2014/main" id="{0AD1DFDD-76CA-861A-E25E-2A71E5E301A0}"/>
                </a:ext>
              </a:extLst>
            </xdr:cNvPr>
            <xdr:cNvCxnSpPr/>
          </xdr:nvCxnSpPr>
          <xdr:spPr>
            <a:xfrm>
              <a:off x="1963756" y="1873938"/>
              <a:ext cx="3088" cy="91752"/>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1" name="Straight Connector 50">
              <a:extLst>
                <a:ext uri="{FF2B5EF4-FFF2-40B4-BE49-F238E27FC236}">
                  <a16:creationId xmlns:a16="http://schemas.microsoft.com/office/drawing/2014/main" id="{4B1FDCF1-97A7-1AD4-8A25-E0559D57AA94}"/>
                </a:ext>
              </a:extLst>
            </xdr:cNvPr>
            <xdr:cNvCxnSpPr/>
          </xdr:nvCxnSpPr>
          <xdr:spPr>
            <a:xfrm>
              <a:off x="2201880" y="1874257"/>
              <a:ext cx="0" cy="91440"/>
            </a:xfrm>
            <a:prstGeom prst="line">
              <a:avLst/>
            </a:prstGeom>
            <a:grpFill/>
            <a:ln>
              <a:solidFill>
                <a:schemeClr val="tx1"/>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8</xdr:col>
      <xdr:colOff>25770</xdr:colOff>
      <xdr:row>79</xdr:row>
      <xdr:rowOff>34644</xdr:rowOff>
    </xdr:from>
    <xdr:to>
      <xdr:col>16</xdr:col>
      <xdr:colOff>118968</xdr:colOff>
      <xdr:row>80</xdr:row>
      <xdr:rowOff>118348</xdr:rowOff>
    </xdr:to>
    <xdr:sp macro="" textlink="">
      <xdr:nvSpPr>
        <xdr:cNvPr id="56" name="Text Box 2">
          <a:extLst>
            <a:ext uri="{FF2B5EF4-FFF2-40B4-BE49-F238E27FC236}">
              <a16:creationId xmlns:a16="http://schemas.microsoft.com/office/drawing/2014/main" id="{E8DD5C8E-A16E-4A91-BD24-FB4DF150E45E}"/>
            </a:ext>
          </a:extLst>
        </xdr:cNvPr>
        <xdr:cNvSpPr txBox="1">
          <a:spLocks noChangeArrowheads="1"/>
        </xdr:cNvSpPr>
      </xdr:nvSpPr>
      <xdr:spPr bwMode="auto">
        <a:xfrm>
          <a:off x="1473570" y="10807419"/>
          <a:ext cx="1540998" cy="226579"/>
        </a:xfrm>
        <a:prstGeom prst="rect">
          <a:avLst/>
        </a:prstGeom>
        <a:solidFill>
          <a:sysClr val="window" lastClr="FFFFFF"/>
        </a:solidFill>
        <a:ln w="6350">
          <a:solidFill>
            <a:schemeClr val="tx1"/>
          </a:solidFill>
          <a:miter lim="800000"/>
          <a:headEnd/>
          <a:tailEnd/>
        </a:ln>
      </xdr:spPr>
      <xdr:txBody>
        <a:bodyPr rot="0" vert="horz" wrap="square" lIns="91440" tIns="45720" rIns="91440" bIns="45720" anchor="t" anchorCtr="0">
          <a:noAutofit/>
        </a:bodyPr>
        <a:lstStyle/>
        <a:p>
          <a:pPr marL="0" marR="0">
            <a:spcBef>
              <a:spcPts val="0"/>
            </a:spcBef>
            <a:spcAft>
              <a:spcPts val="0"/>
            </a:spcAft>
          </a:pPr>
          <a:endParaRPr lang="en-US" sz="1200">
            <a:effectLst/>
            <a:latin typeface="Times New Roman" panose="02020603050405020304" pitchFamily="18" charset="0"/>
            <a:ea typeface="Times New Roman" panose="02020603050405020304" pitchFamily="18" charset="0"/>
          </a:endParaRPr>
        </a:p>
      </xdr:txBody>
    </xdr:sp>
    <xdr:clientData/>
  </xdr:twoCellAnchor>
  <xdr:twoCellAnchor editAs="oneCell">
    <xdr:from>
      <xdr:col>29</xdr:col>
      <xdr:colOff>41673</xdr:colOff>
      <xdr:row>4</xdr:row>
      <xdr:rowOff>47625</xdr:rowOff>
    </xdr:from>
    <xdr:to>
      <xdr:col>39</xdr:col>
      <xdr:colOff>119063</xdr:colOff>
      <xdr:row>7</xdr:row>
      <xdr:rowOff>85725</xdr:rowOff>
    </xdr:to>
    <xdr:pic>
      <xdr:nvPicPr>
        <xdr:cNvPr id="57" name="Picture 56" descr="C:\Users\kimberly.forones\AppData\Local\Microsoft\Windows\INetCache\Content.Word\2307 0118ENCS.PNG">
          <a:extLst>
            <a:ext uri="{FF2B5EF4-FFF2-40B4-BE49-F238E27FC236}">
              <a16:creationId xmlns:a16="http://schemas.microsoft.com/office/drawing/2014/main" id="{1E52A47B-A11B-4601-92BE-3CA7697A6C2B}"/>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318523" y="581025"/>
          <a:ext cx="1887140" cy="409575"/>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E:\Documents%20and%20Settings\San%20Miguel\Desktop\my%20docs\pacifica\pacifica%20fs%202010jun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Nas-svr\2009-2010\G%20Tax%20Returns\Expanded%20tax%20200910.xls"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delrosario-c75/Downloads/BIR%202307%20Certificate%20of%20Creditable%20Tax%20Withheld%20at%20Source.xlsx" TargetMode="External"/><Relationship Id="rId2" Type="http://schemas.openxmlformats.org/officeDocument/2006/relationships/externalLinkPath" Target="file:///C:\Users\delrosario-c75\Downloads\BIR%202307%20Certificate%20of%20Creditable%20Tax%20Withheld%20at%20Source.xlsx" TargetMode="External"/><Relationship Id="rId1" Type="http://schemas.openxmlformats.org/officeDocument/2006/relationships/externalLinkPath" Target="/Users/delrosario-c75/Downloads/BIR%202307%20Certificate%20of%20Creditable%20Tax%20Withheld%20at%20Sourc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sh Disbursements"/>
      <sheetName val="Pre-Operating Exp"/>
      <sheetName val="SOA (2)"/>
      <sheetName val="journal"/>
      <sheetName val="ledger"/>
      <sheetName val="Trial Balance"/>
      <sheetName val="BALANCE SHEET (2)"/>
      <sheetName val="Income Statement"/>
      <sheetName val="BALANCE SHEET"/>
      <sheetName val="Income Statement (2)"/>
      <sheetName val="BALANCE SHEET (3)"/>
      <sheetName val="CF-09"/>
      <sheetName val="amortization"/>
      <sheetName val="itcfin"/>
      <sheetName val="sked"/>
      <sheetName val="Lapsing Schedule2009"/>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
      <sheetName val="1st Qtr"/>
      <sheetName val="Sheet3"/>
      <sheetName val="2nd Qtr"/>
      <sheetName val="Sheet1"/>
      <sheetName val="3rd Qtr"/>
      <sheetName val="4th Qtr"/>
      <sheetName val="Alpha list"/>
      <sheetName val="Tax code"/>
      <sheetName val="Tin"/>
      <sheetName val="Voucher"/>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BIR2307"/>
      <sheetName val="Page1"/>
      <sheetName val="Page2"/>
      <sheetName val="BIR2307 (2)"/>
    </sheetNames>
    <sheetDataSet>
      <sheetData sheetId="0" refreshError="1"/>
      <sheetData sheetId="1" refreshError="1"/>
      <sheetData sheetId="2" refreshError="1">
        <row r="1">
          <cell r="AS1" t="str">
            <v>20240101</v>
          </cell>
          <cell r="AT1" t="str">
            <v>20240331</v>
          </cell>
        </row>
        <row r="2">
          <cell r="AS2" t="str">
            <v>20240401</v>
          </cell>
          <cell r="AT2" t="str">
            <v>20240630</v>
          </cell>
        </row>
        <row r="3">
          <cell r="AS3" t="str">
            <v>20240701</v>
          </cell>
          <cell r="AT3" t="str">
            <v>20240930</v>
          </cell>
        </row>
        <row r="4">
          <cell r="AS4" t="str">
            <v>20241001</v>
          </cell>
          <cell r="AT4" t="str">
            <v>20241231</v>
          </cell>
        </row>
        <row r="5">
          <cell r="AS5" t="str">
            <v>20250101</v>
          </cell>
          <cell r="AT5" t="str">
            <v>20250331</v>
          </cell>
        </row>
        <row r="6">
          <cell r="AS6" t="str">
            <v>20250401</v>
          </cell>
          <cell r="AT6" t="str">
            <v>20250630</v>
          </cell>
        </row>
        <row r="7">
          <cell r="AP7" t="str">
            <v>WC010</v>
          </cell>
          <cell r="AQ7" t="str">
            <v>PROFESSIONAL (LAWYERS, CPAS, ENGINEERS, ETC.) - IF GROSS INCOME FOR THE CURRENT YEAR DID NOT EXCEED P 720,000</v>
          </cell>
          <cell r="AR7">
            <v>0.1</v>
          </cell>
          <cell r="AS7" t="str">
            <v>20250701</v>
          </cell>
          <cell r="AT7" t="str">
            <v>20250930</v>
          </cell>
        </row>
        <row r="8">
          <cell r="AP8" t="str">
            <v>WC011</v>
          </cell>
          <cell r="AQ8" t="str">
            <v>PROFESSIONAL (LAWYERS, CPAS, ENGINEERS, ETC.) - IF GROSS INCOME EXCEEDS P 720,000</v>
          </cell>
          <cell r="AR8">
            <v>0.15</v>
          </cell>
          <cell r="AS8" t="str">
            <v>20251001</v>
          </cell>
          <cell r="AT8" t="str">
            <v>20251231</v>
          </cell>
        </row>
        <row r="9">
          <cell r="AP9" t="str">
            <v>WC020</v>
          </cell>
          <cell r="AQ9" t="str">
            <v>PROFESSIONAL ENTERTAINERS SUCH AS, BUT NOT LIMITED TO ACTORS AND ACTRESSES, SINGERS, LYRICISTS, COMPOSERS, EMCEES - IF GROSS INCOME FOR THE CURRENT YEAR DID NOT EXCEED P 720,000</v>
          </cell>
          <cell r="AR9">
            <v>0.1</v>
          </cell>
          <cell r="AS9" t="str">
            <v>20260101</v>
          </cell>
          <cell r="AT9" t="str">
            <v>20260331</v>
          </cell>
        </row>
        <row r="10">
          <cell r="AP10" t="str">
            <v>WC021</v>
          </cell>
          <cell r="AQ10" t="str">
            <v>PROFESSIONAL ENTERTAINERS SUCH AS, BUT NOT LIMITED TO ACTORS AND ACTRESSES, SINGERS, LYRICISTS, COMPOSERS, EMCEES - IF GROSS INCOME EXCEEDS P 720,000</v>
          </cell>
          <cell r="AR10">
            <v>0.15</v>
          </cell>
          <cell r="AS10" t="str">
            <v>20260401</v>
          </cell>
          <cell r="AT10" t="str">
            <v>20260630</v>
          </cell>
        </row>
        <row r="11">
          <cell r="AP11" t="str">
            <v>WC030</v>
          </cell>
          <cell r="AQ11" t="str">
            <v>PROFESSIONAL ATHLETES INCLUDING BASKETBALL PLAYERS, PELOTARIS AND JOCKEYS - IF GROSS INCOME FOR THE CURRENT YEAR DID NOT EXCEED P 720,000</v>
          </cell>
          <cell r="AR11">
            <v>0.1</v>
          </cell>
          <cell r="AS11" t="str">
            <v>20260701</v>
          </cell>
          <cell r="AT11" t="str">
            <v>20260930</v>
          </cell>
        </row>
        <row r="12">
          <cell r="AP12" t="str">
            <v>WC031</v>
          </cell>
          <cell r="AQ12" t="str">
            <v>PROFESSIONAL ATHLETES INCLUDING BASKETBALL PLAYERS, PELOTARIS AND JOCKEYS - IF GROSS INCOME EXCEEDS P 720,000</v>
          </cell>
          <cell r="AR12">
            <v>0.15</v>
          </cell>
          <cell r="AS12" t="str">
            <v>20261001</v>
          </cell>
          <cell r="AT12" t="str">
            <v>20261231</v>
          </cell>
        </row>
        <row r="13">
          <cell r="AP13" t="str">
            <v>WC040</v>
          </cell>
          <cell r="AQ13" t="str">
            <v>ALL DIRECTORS AND PRODUCERS INVOLVED IN MOVIES, STAGE, RADIO, TELEVISION AND MUSICAL PRODUCTIONS - IF GROSS INCOME FOR THE CURRENT YEAR DID NOT EXCEED P 720,000</v>
          </cell>
          <cell r="AR13">
            <v>0.1</v>
          </cell>
        </row>
        <row r="14">
          <cell r="AP14" t="str">
            <v>WC041</v>
          </cell>
          <cell r="AQ14" t="str">
            <v>ALL DIRECTORS AND PRODUCERS INVOLVED IN MOVIES, STAGE, RADIO, TELEVISION AND MUSICAL PRODUCTIONS - IF GROSS INCOME EXCEEDS P 720,000</v>
          </cell>
          <cell r="AR14">
            <v>0.15</v>
          </cell>
        </row>
        <row r="15">
          <cell r="AP15" t="str">
            <v>WC050</v>
          </cell>
          <cell r="AQ15" t="str">
            <v>MANAGEMENT AND TECHNICAL CONSULTANTS - IF GROSS INCOME FOR THE CURRENT YEAR DID NOT EXCEED P 720,000</v>
          </cell>
          <cell r="AR15">
            <v>0.1</v>
          </cell>
        </row>
        <row r="16">
          <cell r="AP16" t="str">
            <v>WC051</v>
          </cell>
          <cell r="AQ16" t="str">
            <v>MANAGEMENT AND TECHNICAL CONSULTANTS - IF GROSS INCOME EXCEEDS P 720,000</v>
          </cell>
          <cell r="AR16">
            <v>0.15</v>
          </cell>
        </row>
        <row r="17">
          <cell r="AP17" t="str">
            <v>WC060</v>
          </cell>
          <cell r="AQ17" t="str">
            <v>BUSINESS AND BOOKKEEPING AGENTS AND AGENCIES - IF GROSS INCOME FOR THE CURRENT YEAR DID NOT EXCEED P 720,000</v>
          </cell>
          <cell r="AR17">
            <v>0.1</v>
          </cell>
        </row>
        <row r="18">
          <cell r="AP18" t="str">
            <v>WC061</v>
          </cell>
          <cell r="AQ18" t="str">
            <v>BUSINESS AND BOOKKEEPING AGENTS AND AGENCIES - IF GROSS INCOME EXCEEDS P 720,000</v>
          </cell>
          <cell r="AR18">
            <v>0.15</v>
          </cell>
        </row>
        <row r="19">
          <cell r="AP19" t="str">
            <v>WC070</v>
          </cell>
          <cell r="AQ19" t="str">
            <v>INSURANCE AGENTS AND INSURANCE ADJUSTERS - IF GROSS INCOME FOR THE CURRENT YEAR DID NOT EXCEED P 720,000</v>
          </cell>
          <cell r="AR19">
            <v>0.1</v>
          </cell>
        </row>
        <row r="20">
          <cell r="AP20" t="str">
            <v>WC071</v>
          </cell>
          <cell r="AQ20" t="str">
            <v>INSURANCE AGENTS AND INSURANCE ADJUSTERS - IF GROSS INCOME EXCEEDS P 720,000</v>
          </cell>
          <cell r="AR20">
            <v>0.15</v>
          </cell>
        </row>
        <row r="21">
          <cell r="AP21" t="str">
            <v>WC080</v>
          </cell>
          <cell r="AQ21" t="str">
            <v>OTHER RECIPIENTS OF TALENT FEES - IF GROSS INCOME FOR THE CURRENT YEAR DID NOT EXCEED P 720,000</v>
          </cell>
          <cell r="AR21">
            <v>0.1</v>
          </cell>
        </row>
        <row r="22">
          <cell r="AP22" t="str">
            <v>WC081</v>
          </cell>
          <cell r="AQ22" t="str">
            <v>OTHER RECIPIENTS OF TALENT FEES - IF GROSS INCOME EXCEEDS P 720,000</v>
          </cell>
          <cell r="AR22">
            <v>0.15</v>
          </cell>
        </row>
        <row r="23">
          <cell r="AP23" t="str">
            <v>WC100</v>
          </cell>
          <cell r="AQ23" t="e">
            <v>#VALUE!</v>
          </cell>
          <cell r="AR23">
            <v>0.05</v>
          </cell>
        </row>
        <row r="24">
          <cell r="AP24" t="str">
            <v>WC110</v>
          </cell>
          <cell r="AQ24" t="str">
            <v>CINEMATOGRAPHIC FILM RENTALS AND OTHER PAYMENTS TO RESIDENT INDIVIDUALS AND CORPORATE CINEMATOGRAPHIC FILM OWNERS, LESSORS OR DISTRIBUTORS</v>
          </cell>
          <cell r="AR24">
            <v>0.05</v>
          </cell>
        </row>
        <row r="25">
          <cell r="AP25" t="str">
            <v>WC120</v>
          </cell>
          <cell r="AQ25" t="str">
            <v>INCOME PAYMENTS TO CERTAIN CONTRACTORS</v>
          </cell>
          <cell r="AR25">
            <v>0.02</v>
          </cell>
        </row>
        <row r="26">
          <cell r="AP26" t="str">
            <v>WC139</v>
          </cell>
          <cell r="AQ26" t="e">
            <v>#VALUE!</v>
          </cell>
          <cell r="AR26">
            <v>0.1</v>
          </cell>
        </row>
        <row r="27">
          <cell r="AP27" t="str">
            <v>WC140</v>
          </cell>
          <cell r="AQ27" t="e">
            <v>#VALUE!</v>
          </cell>
          <cell r="AR27">
            <v>0.15</v>
          </cell>
        </row>
        <row r="28">
          <cell r="AP28" t="str">
            <v>WC150</v>
          </cell>
          <cell r="AQ28" t="e">
            <v>#VALUE!</v>
          </cell>
          <cell r="AR28">
            <v>0.15</v>
          </cell>
        </row>
        <row r="29">
          <cell r="AP29" t="str">
            <v>WC151</v>
          </cell>
          <cell r="AQ29" t="e">
            <v>#VALUE!</v>
          </cell>
          <cell r="AR29">
            <v>0.1</v>
          </cell>
        </row>
        <row r="30">
          <cell r="AP30" t="str">
            <v>WC156</v>
          </cell>
          <cell r="AQ30" t="str">
            <v>INCOME PAYMENTS MADE BY CREDIT CARD COMPANIES</v>
          </cell>
          <cell r="AR30">
            <v>5.0000000000000001E-3</v>
          </cell>
        </row>
        <row r="31">
          <cell r="AP31" t="str">
            <v>WC157</v>
          </cell>
          <cell r="AQ31" t="str">
            <v>INCOME PAYMENTS MADE BY THE GOVERNMENT AND GOVERNMENT-OWNED AND CONTROLLED CORPORATIONS (GOCCS) TO ITS LOCAL/RESIDENT SUPPLIERS OF SERVICES OTHER THAN THOSE COVERED BY OTHER RATES OF WITHHOLDING TAX</v>
          </cell>
          <cell r="AR31">
            <v>0.02</v>
          </cell>
        </row>
        <row r="32">
          <cell r="AP32" t="str">
            <v>WC158</v>
          </cell>
          <cell r="AQ32" t="str">
            <v>INCOME PAYMENT MADE BY TOP WITHHOLDING AGENTS TO THEIR LOCAL/RESIDENT SUPPLIER OF GOODS OTHER THAN THOSE COVERED BY OTHER RATES OF WITHHOLDING TAX</v>
          </cell>
          <cell r="AR32">
            <v>0.01</v>
          </cell>
        </row>
        <row r="33">
          <cell r="AP33" t="str">
            <v>WC160</v>
          </cell>
          <cell r="AQ33" t="str">
            <v>INCOME PAYMENT MADE BY TOP WITHHOLDING AGENTS TO THEIR LOCAL/RESIDENT SUPPLIER OF SERVICES OTHER THAN THOSE COVERED BY OTHER RATES OF WITHHOLDING TAX</v>
          </cell>
          <cell r="AR33">
            <v>0.02</v>
          </cell>
        </row>
        <row r="34">
          <cell r="AP34" t="str">
            <v>WC515</v>
          </cell>
          <cell r="AQ34" t="e">
            <v>#VALUE!</v>
          </cell>
          <cell r="AR34">
            <v>0.1</v>
          </cell>
        </row>
        <row r="35">
          <cell r="AP35" t="str">
            <v>WC516</v>
          </cell>
          <cell r="AQ35" t="e">
            <v>#VALUE!</v>
          </cell>
          <cell r="AR35">
            <v>0.15</v>
          </cell>
        </row>
        <row r="36">
          <cell r="AP36" t="str">
            <v>WC110</v>
          </cell>
          <cell r="AQ36" t="str">
            <v>CINEMATOGRAPHIC FILM RENTALS AND OTHER PAYMENTS TO RESIDENT INDIVIDUALS AND CORPORATE CINEMATOGRAPHIC FILM OWNERS, LESSORS OR DISTRIBUTORS</v>
          </cell>
          <cell r="AR36">
            <v>0.05</v>
          </cell>
        </row>
        <row r="37">
          <cell r="AP37" t="str">
            <v>WC610</v>
          </cell>
          <cell r="AQ37" t="str">
            <v>INCOME PAYMENTS MADE TO SUPPLIERS OF AGRICULTURAL PRODUCTS IN EXCESS OF CUMULATIVE AMOUNT OF P 300,000 WITHIN THE SAME TAXABLE YEAR</v>
          </cell>
          <cell r="AR37">
            <v>0.01</v>
          </cell>
        </row>
        <row r="38">
          <cell r="AP38" t="str">
            <v>WC630</v>
          </cell>
          <cell r="AQ38" t="str">
            <v>INCOME PAYMENTS ON PURCHASES OF MINERALS, MINERAL PRODUCTS AND QUARRY RESOURCES, SUCH AS BUT NOT LIMITED TO SILVER, GOLD, MARBLE, GRANITE, GRAVEL, SAND, BOULDERS AND OTHER MINERAL PRODUCTS EXCEPT PURCHASES BY BANGKO SENTRAL NG PILIPINAS</v>
          </cell>
          <cell r="AR38">
            <v>0.05</v>
          </cell>
        </row>
        <row r="39">
          <cell r="AP39" t="str">
            <v>WC632</v>
          </cell>
          <cell r="AQ39" t="str">
            <v>INCOME PAYMENTS ON PURCHASES OF MINERALS, MINERAL PRODUCTS AND QUARRY RESOURCES BY BANGKO SENTRAL NG PILIPINAS (BSP) FROM GOLD MINERS/SUPPLIERS UNDER PD 1899, AS AMENDED BY RA NO. 7076</v>
          </cell>
          <cell r="AR39">
            <v>0.01</v>
          </cell>
        </row>
        <row r="40">
          <cell r="AP40" t="str">
            <v>WC640</v>
          </cell>
          <cell r="AQ40" t="str">
            <v>INCOME PAYMENTS MADE BY THE GOVERNMENT AND GOVERNMENT-OWNED AND CONTROLLED CORPORATIONS (GOCCS) TO ITS LOCAL/RESIDENT SUPPLIERS OF GOODS OTHER THAN THOSE COVERED BY OTHER RATES OF WITHHOLDING TAX</v>
          </cell>
          <cell r="AR40">
            <v>0.01</v>
          </cell>
        </row>
        <row r="41">
          <cell r="AP41" t="str">
            <v>WC650</v>
          </cell>
          <cell r="AQ41" t="str">
            <v>ON GROSS AMOUNT OF REFUND GIVEN BY MERALCO TO CUSTOMERS WITH ACTIVE CONTRACTS AS CLASSIFIED BY MERALCO</v>
          </cell>
          <cell r="AR41">
            <v>0.25</v>
          </cell>
        </row>
        <row r="42">
          <cell r="AP42" t="str">
            <v>WC651</v>
          </cell>
          <cell r="AQ42" t="str">
            <v>ON GROSS AMOUNT OF REFUND GIVEN BY MERALCO TO CUSTOMERS WITH TERMINATED CONTRACTS AS CLASSIFIED BY MERALCO</v>
          </cell>
          <cell r="AR42">
            <v>0.32</v>
          </cell>
        </row>
        <row r="43">
          <cell r="AP43" t="str">
            <v>WC660</v>
          </cell>
          <cell r="AQ43" t="e">
            <v>#VALUE!</v>
          </cell>
          <cell r="AR43">
            <v>0.1</v>
          </cell>
        </row>
        <row r="44">
          <cell r="AP44" t="str">
            <v>WC661</v>
          </cell>
          <cell r="AQ44" t="str">
            <v>ON GROSS AMOUNT OF INTEREST ON THE REFUND OF METER DEPOSIT WHETHER PAID DIRECTLY TO THE CUSTOMERS OR APPLIED AGAINST CUSTOMERS BILLINGS OF NON-RESIDENTIAL CUSTOMERS WHOSE MONTHLY ELECTRICITY CONSUMPTION EXCEEDS 200 KWH AS CLASSIFIED BY MERALCO</v>
          </cell>
          <cell r="AR44">
            <v>0.1</v>
          </cell>
        </row>
        <row r="45">
          <cell r="AP45" t="str">
            <v>WC662</v>
          </cell>
          <cell r="AQ45" t="e">
            <v>#VALUE!</v>
          </cell>
          <cell r="AR45">
            <v>0.1</v>
          </cell>
        </row>
        <row r="46">
          <cell r="AP46" t="str">
            <v>WC663</v>
          </cell>
          <cell r="AQ46" t="e">
            <v>#VALUE!</v>
          </cell>
          <cell r="AR46">
            <v>0.2</v>
          </cell>
        </row>
        <row r="47">
          <cell r="AP47" t="str">
            <v>WC680</v>
          </cell>
          <cell r="AQ47" t="e">
            <v>#VALUE!</v>
          </cell>
          <cell r="AR47">
            <v>0.05</v>
          </cell>
        </row>
        <row r="48">
          <cell r="AP48" t="str">
            <v>WC690</v>
          </cell>
          <cell r="AQ48" t="str">
            <v>INCOME PAYMENTS RECEIVED BY REAL ESTATE INVESTMENT TRUST (REIT)</v>
          </cell>
          <cell r="AR48">
            <v>0.01</v>
          </cell>
        </row>
        <row r="49">
          <cell r="AP49" t="str">
            <v>WC710</v>
          </cell>
          <cell r="AQ49" t="str">
            <v>INTEREST INCOME DERIVED FROM ANY OTHER DEBT INSTRUMENTS NOT WITHIN THE COVERAGE OF DEPOSIT SUBSTITUTES AND REVENUE REGULATIONS NO. 14-2012</v>
          </cell>
          <cell r="AR49">
            <v>0.2</v>
          </cell>
        </row>
        <row r="50">
          <cell r="AP50" t="str">
            <v>WC720</v>
          </cell>
          <cell r="AQ50" t="str">
            <v>INCOME PAYMENTS ON LOCALLY PRODUCED RAW SUGAR</v>
          </cell>
          <cell r="AR50">
            <v>0.01</v>
          </cell>
        </row>
        <row r="51">
          <cell r="AP51" t="str">
            <v>WI010</v>
          </cell>
          <cell r="AQ51" t="str">
            <v>PROFESSIONAL (LAWYERS, CPAS, ENGINEERS, ETC.) - IF GROSS INCOME FOR THE CURRENT YEAR DID NOT EXCEED P 3M</v>
          </cell>
          <cell r="AR51">
            <v>0.05</v>
          </cell>
        </row>
        <row r="52">
          <cell r="AP52" t="str">
            <v>WI011</v>
          </cell>
          <cell r="AQ52" t="str">
            <v>PROFESSIONAL (LAWYERS, CPAS, ENGINEERS, ETC.) - IF GROSS INCOME IS MORE THAN P 3M OR VAT REGISTERED REGARDLESS OF AMOUNT</v>
          </cell>
          <cell r="AR52">
            <v>0.1</v>
          </cell>
        </row>
        <row r="53">
          <cell r="AP53" t="str">
            <v>WI020</v>
          </cell>
          <cell r="AQ53" t="str">
            <v>PROFESSIONAL ENTERTAINERS SUCH AS, BUT NOT LIMITED TO ACTORS AND ACTRESSES, SINGERS, LYRICISTS, COMPOSERS, EMCEES - IF GROSS INCOME FOR THE CURRENT YEAR DID NOT EXCEED P 3M</v>
          </cell>
          <cell r="AR53">
            <v>0.05</v>
          </cell>
        </row>
        <row r="54">
          <cell r="AP54" t="str">
            <v>WI021</v>
          </cell>
          <cell r="AQ54" t="str">
            <v>PROFESSIONAL ENTERTAINERS SUCH AS, BUT NOT LIMITED TO ACTORS AND ACTRESSES, SINGERS, LYRICISTS, COMPOSERS, EMCEES - IF GROSS INCOME IS MORE THAN P 3M OR VAT REGISTERED REGARDLESS OF AMOUNT</v>
          </cell>
          <cell r="AR54">
            <v>0.1</v>
          </cell>
        </row>
        <row r="55">
          <cell r="AP55" t="str">
            <v>WI030</v>
          </cell>
          <cell r="AQ55" t="str">
            <v>PROFESSIONAL ATHLETES INCLUDING BASKETBALL PLAYERS, PELOTARIS AND JOCKEYS - IF GROSS INCOME FOR THE CURRENT YEAR DID NOT EXCEED P 3M</v>
          </cell>
          <cell r="AR55">
            <v>0.05</v>
          </cell>
        </row>
        <row r="56">
          <cell r="AP56" t="str">
            <v>WI031</v>
          </cell>
          <cell r="AQ56" t="str">
            <v>PROFESSIONAL ATHLETES INCLUDING BASKETBALL PLAYERS, PELOTARIS AND JOCKEYS - IF GROSS INCOME IS MORE THAN P 3M OR VAT REGISTERED REGARDLESS OF AMOUNT</v>
          </cell>
          <cell r="AR56">
            <v>0.1</v>
          </cell>
        </row>
        <row r="57">
          <cell r="AP57" t="str">
            <v>WI040</v>
          </cell>
          <cell r="AQ57" t="str">
            <v>ALL DIRECTORS AND PRODUCERS INVOLVED IN MOVIES, STAGE, RADIO, TELEVISION AND MUSICAL PRODUCTIONS - IF GROSS INCOME FOR THE CURRENT YEAR DID NOT EXCEED P 3M</v>
          </cell>
          <cell r="AR57">
            <v>0.05</v>
          </cell>
        </row>
        <row r="58">
          <cell r="AP58" t="str">
            <v>WI041</v>
          </cell>
          <cell r="AQ58" t="str">
            <v>ALL DIRECTORS AND PRODUCERS INVOLVED IN MOVIES, STAGE, RADIO, TELEVISION AND MUSICAL PRODUCTIONS - IF GROSS INCOME IS MORE THAN P 3M OR VAT REGISTERED REGARDLESS OF AMOUNT</v>
          </cell>
          <cell r="AR58">
            <v>0.1</v>
          </cell>
        </row>
        <row r="59">
          <cell r="AP59" t="str">
            <v>WI050</v>
          </cell>
          <cell r="AQ59" t="str">
            <v>MANAGEMENT AND TECHNICAL CONSULTANTS - IF GROSS INCOME FOR THE CURRENT YEAR DID NOT EXCEED P 3M</v>
          </cell>
          <cell r="AR59">
            <v>0.05</v>
          </cell>
        </row>
        <row r="60">
          <cell r="AP60" t="str">
            <v>WI051</v>
          </cell>
          <cell r="AQ60" t="str">
            <v>MANAGEMENT AND TECHNICAL CONSULTANTS - IF GROSS INCOME IS MORE THAN P 3M OR VAT REGISTERED REGARDLESS OF AMOUNT</v>
          </cell>
          <cell r="AR60">
            <v>0.1</v>
          </cell>
        </row>
        <row r="61">
          <cell r="AP61" t="str">
            <v>WI060</v>
          </cell>
          <cell r="AQ61" t="str">
            <v>BUSINESS AND BOOKKEEPING AGENTS AND AGENCIES - IF GROSS INCOME FOR THE CURRENT YEAR DID NOT EXCEED P 3M</v>
          </cell>
          <cell r="AR61">
            <v>0.05</v>
          </cell>
        </row>
        <row r="62">
          <cell r="AP62" t="str">
            <v>WI061</v>
          </cell>
          <cell r="AQ62" t="str">
            <v>BUSINESS AND BOOKKEEPING AGENTS AND AGENCIES -IF GROSS INCOME IS MORE THAN P 3M OR VAT REGISTERED REGARDLESS OF AMOUNT</v>
          </cell>
          <cell r="AR62">
            <v>0.1</v>
          </cell>
        </row>
        <row r="63">
          <cell r="AP63" t="str">
            <v>WI070</v>
          </cell>
          <cell r="AQ63" t="str">
            <v>INSURANCE AGENTS AND INSURANCE ADJUSTERS - IF GROSS INCOME FOR THE CURRENT YEAR DID NOT EXCEED P 3M</v>
          </cell>
          <cell r="AR63">
            <v>0.05</v>
          </cell>
        </row>
        <row r="64">
          <cell r="AP64" t="str">
            <v>WI071</v>
          </cell>
          <cell r="AQ64" t="str">
            <v>INSURANCE AGENTS AND INSURANCE ADJUSTERS - IF GROSS INCOME IS MORE THAN P 3M OR VAT REGISTERED REGARDLESS OF AMOUNT</v>
          </cell>
          <cell r="AR64">
            <v>0.1</v>
          </cell>
        </row>
        <row r="65">
          <cell r="AP65" t="str">
            <v>WI080</v>
          </cell>
          <cell r="AQ65" t="str">
            <v>OTHER RECIPIENTS OF TALENT FEES - IF GROSS INCOME FOR THE CURRENT YEAR DID NOT EXCEED P 3M</v>
          </cell>
          <cell r="AR65">
            <v>0.05</v>
          </cell>
        </row>
        <row r="66">
          <cell r="AP66" t="str">
            <v>WI081</v>
          </cell>
          <cell r="AQ66" t="str">
            <v>OTHER RECIPIENTS OF TALENT FEES - IF GROSS INCOME IS MORE THAN P 3M OR VAT REGISTERED REGARDLESS OF AMOUNT</v>
          </cell>
          <cell r="AR66">
            <v>0.1</v>
          </cell>
        </row>
        <row r="67">
          <cell r="AP67" t="str">
            <v>WI090</v>
          </cell>
          <cell r="AQ67" t="str">
            <v>FEES OF DIRECTORS WHO ARE NOT EMPLOYEES OF THE COMPANY - IF GROSS INCOME FOR THE CURRENT YEAR DID NOT EXCEED P 3M</v>
          </cell>
          <cell r="AR67">
            <v>0.05</v>
          </cell>
        </row>
        <row r="68">
          <cell r="AP68" t="str">
            <v>WI091</v>
          </cell>
          <cell r="AQ68" t="str">
            <v>FEES OF DIRECTORS WHO ARE NOT EMPLOYEES OF THE COMPANY - IF GROSS INCOME IS MORE THAN P 3M OR VAT REGISTERED REGARDLESS OF AMOUNT</v>
          </cell>
          <cell r="AR68">
            <v>0.1</v>
          </cell>
        </row>
        <row r="69">
          <cell r="AP69" t="str">
            <v>WI100</v>
          </cell>
          <cell r="AQ69" t="e">
            <v>#VALUE!</v>
          </cell>
          <cell r="AR69">
            <v>0.05</v>
          </cell>
        </row>
        <row r="70">
          <cell r="AP70" t="str">
            <v>WI110</v>
          </cell>
          <cell r="AQ70" t="str">
            <v>CINEMATOGRAPHIC FILM RENTALS AND OTHER PAYMENTS TO RESIDENT INDIVIDUALS AND CORPORATE CINEMATOGRAPHIC FILM OWNERS, LESSORS OR DISTRIBUTORS</v>
          </cell>
          <cell r="AR70">
            <v>0.05</v>
          </cell>
        </row>
        <row r="71">
          <cell r="AP71" t="str">
            <v>WI120</v>
          </cell>
          <cell r="AQ71" t="str">
            <v>INCOME PAYMENTS TO CERTAIN CONTRACTORS</v>
          </cell>
          <cell r="AR71">
            <v>0.02</v>
          </cell>
        </row>
        <row r="72">
          <cell r="AP72" t="str">
            <v>WI130</v>
          </cell>
          <cell r="AQ72" t="str">
            <v>INCOME DISTRIBUTION TO THE BENEFICIARIES OF ESTATES AND TRUSTS</v>
          </cell>
          <cell r="AR72">
            <v>0.15</v>
          </cell>
        </row>
        <row r="73">
          <cell r="AP73" t="str">
            <v>WI139</v>
          </cell>
          <cell r="AQ73" t="e">
            <v>#VALUE!</v>
          </cell>
          <cell r="AR73">
            <v>0.05</v>
          </cell>
        </row>
        <row r="74">
          <cell r="AP74" t="str">
            <v>WI140</v>
          </cell>
          <cell r="AQ74" t="e">
            <v>#VALUE!</v>
          </cell>
          <cell r="AR74">
            <v>0.1</v>
          </cell>
        </row>
        <row r="75">
          <cell r="AP75" t="str">
            <v>WI150</v>
          </cell>
          <cell r="AQ75" t="e">
            <v>#VALUE!</v>
          </cell>
          <cell r="AR75">
            <v>0.1</v>
          </cell>
        </row>
        <row r="76">
          <cell r="AP76" t="str">
            <v>WI151</v>
          </cell>
          <cell r="AQ76" t="e">
            <v>#VALUE!</v>
          </cell>
          <cell r="AR76">
            <v>0.05</v>
          </cell>
        </row>
        <row r="77">
          <cell r="AP77" t="str">
            <v>WI152</v>
          </cell>
          <cell r="AQ77" t="str">
            <v>PAYMENT BY THE GENERAL PROFESSIONAL PARTNERSHIPS (GPPS) TO ITS PARTNERS - IF GROSS INCOME FOR THE CURRENT YEAR DID NOT EXCEED P 720,000</v>
          </cell>
          <cell r="AR77">
            <v>0.1</v>
          </cell>
        </row>
        <row r="78">
          <cell r="AP78" t="str">
            <v>WI153</v>
          </cell>
          <cell r="AQ78" t="str">
            <v>PAYMENT BY THE GENERAL PROFESSIONAL PARTNERSHIPS (GPPS) TO ITS PARTNERS - IF GROSS INCOME EXCEEDS P 720,000</v>
          </cell>
          <cell r="AR78">
            <v>0.15</v>
          </cell>
        </row>
        <row r="79">
          <cell r="AP79" t="str">
            <v>WI156</v>
          </cell>
          <cell r="AQ79" t="str">
            <v>INCOME PAYMENTS MADE BY CREDIT CARD COMPANIES</v>
          </cell>
          <cell r="AR79">
            <v>5.0000000000000001E-3</v>
          </cell>
        </row>
        <row r="80">
          <cell r="AP80" t="str">
            <v>WI157</v>
          </cell>
          <cell r="AQ80" t="str">
            <v>INCOME PAYMENTS MADE BY THE GOVERNMENT AND GOVERNMENT-OWNED AND CONTROLLED CORPORATIONS (GOCCS) TO ITS LOCAL/RESIDENT SUPPLIERS OF SERVICES OTHER THAN THOSE COVERED BY OTHER RATES OF WITHHOLDING TAX</v>
          </cell>
          <cell r="AR80">
            <v>0.02</v>
          </cell>
        </row>
        <row r="81">
          <cell r="AP81" t="str">
            <v>WI158</v>
          </cell>
          <cell r="AQ81" t="str">
            <v>INCOME PAYMENT MADE BY TOP WITHHOLDING AGENTS TO THEIR LOCAL/RESIDENT SUPPLIER OF GOODS OTHER THAN THOSE COVERED BY OTHER RATES OF WITHHOLDING TAX</v>
          </cell>
          <cell r="AR81">
            <v>0.01</v>
          </cell>
        </row>
        <row r="82">
          <cell r="AP82" t="str">
            <v>WI159</v>
          </cell>
          <cell r="AQ82" t="str">
            <v>ADDITIONAL INCOME PAYMENTS TO GOVERNMENT PERSONNEL FROM IMPORTERS, SHIPPING AND AIRLINE COMPANIES OR THEIR AGENTS FOR OVERTIME SERVICES</v>
          </cell>
          <cell r="AR82">
            <v>0.15</v>
          </cell>
        </row>
        <row r="83">
          <cell r="AP83" t="str">
            <v>WI160</v>
          </cell>
          <cell r="AQ83" t="str">
            <v>INCOME PAYMENT MADE BY TOP WITHHOLDING AGENTS TO THEIR LOCAL/RESIDENT SUPPLIER OF SERVICES OTHER THAN THOSE COVERED BY OTHER RATES OF WITHHOLDING TAX</v>
          </cell>
          <cell r="AR83">
            <v>0.02</v>
          </cell>
        </row>
        <row r="84">
          <cell r="AP84" t="str">
            <v>WI515</v>
          </cell>
          <cell r="AQ84" t="e">
            <v>#VALUE!</v>
          </cell>
          <cell r="AR84">
            <v>0.05</v>
          </cell>
        </row>
        <row r="85">
          <cell r="AP85" t="str">
            <v>WI516</v>
          </cell>
          <cell r="AQ85" t="e">
            <v>#VALUE!</v>
          </cell>
          <cell r="AR85">
            <v>0.1</v>
          </cell>
        </row>
        <row r="86">
          <cell r="AP86" t="str">
            <v>WI530</v>
          </cell>
          <cell r="AQ86" t="str">
            <v>GROSS PAYMENTS TO EMBALMERS BY FUNERAL PARLORS</v>
          </cell>
          <cell r="AR86">
            <v>0.01</v>
          </cell>
        </row>
        <row r="87">
          <cell r="AP87" t="str">
            <v>WI535</v>
          </cell>
          <cell r="AQ87" t="str">
            <v>PAYMENTS MADE BY PRE-NEED COMPANIES TO FUNERAL PARLORS</v>
          </cell>
          <cell r="AR87">
            <v>0.01</v>
          </cell>
        </row>
        <row r="88">
          <cell r="AP88" t="str">
            <v>WI540</v>
          </cell>
          <cell r="AQ88" t="str">
            <v>TOLLING FEES PAID TO REFINERIES</v>
          </cell>
          <cell r="AR88">
            <v>0.05</v>
          </cell>
        </row>
        <row r="89">
          <cell r="AP89" t="str">
            <v>WI610</v>
          </cell>
          <cell r="AQ89" t="str">
            <v>INCOME PAYMENTS MADE TO SUPPLIERS OF AGRICULTURAL PRODUCTS IN EXCESS OF CUMULATIVE AMOUNT OF P 300,000 WITHIN THE SAME TAXABLE YEAR</v>
          </cell>
          <cell r="AR89">
            <v>0.01</v>
          </cell>
        </row>
        <row r="90">
          <cell r="AP90" t="str">
            <v>WI630</v>
          </cell>
          <cell r="AQ90" t="str">
            <v>INCOME PAYMENTS ON PURCHASES OF MINERALS, MINERAL PRODUCTS AND QUARRY RESOURCES, SUCH AS BUT NOT LIMITED TO SILVER, GOLD, MARBLE, GRANITE, GRAVEL, SAND, BOULDERS AND OTHER MINERAL PRODUCTS EXCEPT PURCHASES BY BANGKO SENTRAL NG PILIPINAS</v>
          </cell>
          <cell r="AR90">
            <v>0.05</v>
          </cell>
        </row>
        <row r="91">
          <cell r="AP91" t="str">
            <v>WI632</v>
          </cell>
          <cell r="AQ91" t="str">
            <v>INCOME PAYMENTS ON PURCHASES OF MINERALS, MINERAL PRODUCTS AND QUARRY RESOURCES BY BANGKO SENTRAL NG PILIPINAS (BSP) FROM GOLD MINERS/SUPPLIERS UNDER PD 1899, AS AMENDED BY RA NO. 7076</v>
          </cell>
          <cell r="AR91">
            <v>0.01</v>
          </cell>
        </row>
        <row r="92">
          <cell r="AP92" t="str">
            <v>WI640</v>
          </cell>
          <cell r="AQ92" t="str">
            <v>INCOME PAYMENTS MADE BY THE GOVERNMENT AND GOVERNMENT-OWNED AND CONTROLLED CORPORATIONS (GOCCS) TO ITS LOCAL/RESIDENT SUPPLIERS OF GOODS OTHER THAN THOSE COVERED BY OTHER RATES OF WITHHOLDING TAX</v>
          </cell>
          <cell r="AR92">
            <v>0.01</v>
          </cell>
        </row>
        <row r="93">
          <cell r="AP93" t="str">
            <v>WI650</v>
          </cell>
          <cell r="AQ93" t="str">
            <v>ON GROSS AMOUNT OF REFUND GIVEN BY MERALCO TO CUSTOMERS WITH ACTIVE CONTRACTS AS CLASSIFIED BY MERALCO</v>
          </cell>
          <cell r="AR93">
            <v>0.25</v>
          </cell>
        </row>
        <row r="94">
          <cell r="AP94" t="str">
            <v>WI651</v>
          </cell>
          <cell r="AQ94" t="str">
            <v>ON GROSS AMOUNT OF REFUND GIVEN BY MERALCO TO CUSTOMERS WITH TERMINATED CONTRACTS AS CLASSIFIED BY MERALCO</v>
          </cell>
          <cell r="AR94">
            <v>0.32</v>
          </cell>
        </row>
        <row r="95">
          <cell r="AP95" t="str">
            <v>WI660</v>
          </cell>
          <cell r="AQ95" t="e">
            <v>#VALUE!</v>
          </cell>
          <cell r="AR95">
            <v>0.1</v>
          </cell>
        </row>
        <row r="96">
          <cell r="AP96" t="str">
            <v>WI661</v>
          </cell>
          <cell r="AQ96" t="str">
            <v>ON GROSS AMOUNT OF INTEREST ON THE REFUND OF METER DEPOSIT WHETHER PAID DIRECTLY TO THE CUSTOMERS OR APPLIED AGAINST CUSTOMERS BILLINGS OF NON-RESIDENTIAL CUSTOMERS WHOSE MONTHLY ELECTRICITY CONSUMPTION EXCEEDS 200 KWH AS CLASSIFIED BY MERALCO</v>
          </cell>
          <cell r="AR96">
            <v>0.1</v>
          </cell>
        </row>
        <row r="97">
          <cell r="AP97" t="str">
            <v>WI662</v>
          </cell>
          <cell r="AQ97" t="e">
            <v>#VALUE!</v>
          </cell>
          <cell r="AR97">
            <v>0.1</v>
          </cell>
        </row>
        <row r="98">
          <cell r="AP98" t="str">
            <v>WI663</v>
          </cell>
          <cell r="AQ98" t="e">
            <v>#VALUE!</v>
          </cell>
          <cell r="AR98">
            <v>0.2</v>
          </cell>
        </row>
        <row r="99">
          <cell r="AP99" t="str">
            <v>WI680</v>
          </cell>
          <cell r="AQ99" t="e">
            <v>#VALUE!</v>
          </cell>
          <cell r="AR99">
            <v>0.05</v>
          </cell>
        </row>
        <row r="100">
          <cell r="AP100" t="str">
            <v>WI710</v>
          </cell>
          <cell r="AQ100" t="str">
            <v>INTEREST INCOME DERIVED FROM ANY OTHER DEBT INSTRUMENTS NOT WITHIN THE COVERAGE OF DEPOSIT SUBSTITUTES AND REVENUE REGULATIONS NO. 14-2012</v>
          </cell>
          <cell r="AR100">
            <v>0.2</v>
          </cell>
        </row>
        <row r="101">
          <cell r="AP101" t="str">
            <v>WI720</v>
          </cell>
          <cell r="AQ101" t="str">
            <v>INCOME PAYMENTS ON LOCALLY PRODUCED RAW SUGAR</v>
          </cell>
          <cell r="AR101">
            <v>0.01</v>
          </cell>
        </row>
      </sheetData>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95004-8AE8-4397-9FEE-A86A8D6286DD}">
  <sheetPr codeName="Sheet1">
    <tabColor rgb="FFFF66FF"/>
    <pageSetUpPr fitToPage="1"/>
  </sheetPr>
  <dimension ref="A1:AU111"/>
  <sheetViews>
    <sheetView tabSelected="1" view="pageBreakPreview" zoomScale="106" zoomScaleNormal="145" zoomScaleSheetLayoutView="145" workbookViewId="0">
      <selection activeCell="AR33" sqref="AR33"/>
    </sheetView>
  </sheetViews>
  <sheetFormatPr defaultColWidth="9.109375" defaultRowHeight="12"/>
  <cols>
    <col min="1" max="19" width="2.6640625" style="108" customWidth="1"/>
    <col min="20" max="20" width="3.109375" style="108" customWidth="1"/>
    <col min="21" max="40" width="2.6640625" style="108" customWidth="1"/>
    <col min="41" max="41" width="0.88671875" style="108" customWidth="1"/>
    <col min="42" max="42" width="2.6640625" style="108" customWidth="1"/>
    <col min="43" max="43" width="13.6640625" style="109" customWidth="1"/>
    <col min="44" max="45" width="13.6640625" style="110" customWidth="1"/>
    <col min="46" max="46" width="13.6640625" style="108" customWidth="1"/>
    <col min="47" max="47" width="15.6640625" style="108" customWidth="1"/>
    <col min="48" max="16384" width="9.109375" style="108"/>
  </cols>
  <sheetData>
    <row r="1" spans="1:45" ht="6" customHeight="1"/>
    <row r="2" spans="1:45" ht="11.25" customHeight="1">
      <c r="A2" s="111"/>
      <c r="B2" s="111"/>
      <c r="C2" s="111"/>
      <c r="D2" s="111"/>
      <c r="E2" s="111"/>
      <c r="F2" s="111"/>
      <c r="G2" s="111"/>
      <c r="H2" s="186" t="s">
        <v>0</v>
      </c>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7"/>
      <c r="AI2" s="187"/>
      <c r="AJ2" s="187"/>
      <c r="AK2" s="187"/>
      <c r="AL2" s="187"/>
      <c r="AM2" s="187"/>
      <c r="AN2" s="187"/>
      <c r="AO2" s="187"/>
      <c r="AQ2" s="113"/>
    </row>
    <row r="3" spans="1:45" ht="11.25" customHeight="1">
      <c r="A3" s="111"/>
      <c r="B3" s="111"/>
      <c r="C3" s="111"/>
      <c r="D3" s="111"/>
      <c r="E3" s="111"/>
      <c r="F3" s="111"/>
      <c r="G3" s="111"/>
      <c r="H3" s="186" t="s">
        <v>1</v>
      </c>
      <c r="I3" s="186"/>
      <c r="J3" s="186"/>
      <c r="K3" s="186"/>
      <c r="L3" s="186"/>
      <c r="M3" s="186"/>
      <c r="N3" s="186"/>
      <c r="O3" s="186"/>
      <c r="P3" s="186"/>
      <c r="Q3" s="186"/>
      <c r="R3" s="186"/>
      <c r="S3" s="186"/>
      <c r="T3" s="186"/>
      <c r="U3" s="186"/>
      <c r="V3" s="186"/>
      <c r="W3" s="186"/>
      <c r="X3" s="186"/>
      <c r="Y3" s="186"/>
      <c r="Z3" s="186"/>
      <c r="AA3" s="186"/>
      <c r="AB3" s="186"/>
      <c r="AC3" s="186"/>
      <c r="AD3" s="186"/>
      <c r="AE3" s="186"/>
      <c r="AF3" s="186"/>
      <c r="AG3" s="186"/>
      <c r="AH3" s="188"/>
      <c r="AI3" s="188"/>
      <c r="AJ3" s="188"/>
      <c r="AK3" s="188"/>
      <c r="AL3" s="188"/>
      <c r="AM3" s="188"/>
      <c r="AN3" s="188"/>
      <c r="AO3" s="188"/>
      <c r="AQ3" s="114"/>
    </row>
    <row r="4" spans="1:45" ht="13.5" customHeight="1" thickBot="1">
      <c r="A4" s="115"/>
      <c r="B4" s="115"/>
      <c r="C4" s="115"/>
      <c r="D4" s="115"/>
      <c r="E4" s="115"/>
      <c r="F4" s="115"/>
      <c r="G4" s="115"/>
      <c r="H4" s="189" t="s">
        <v>2</v>
      </c>
      <c r="I4" s="189"/>
      <c r="J4" s="189"/>
      <c r="K4" s="189"/>
      <c r="L4" s="189"/>
      <c r="M4" s="189"/>
      <c r="N4" s="189"/>
      <c r="O4" s="189"/>
      <c r="P4" s="189"/>
      <c r="Q4" s="189"/>
      <c r="R4" s="189"/>
      <c r="S4" s="189"/>
      <c r="T4" s="189"/>
      <c r="U4" s="189"/>
      <c r="V4" s="189"/>
      <c r="W4" s="189"/>
      <c r="X4" s="189"/>
      <c r="Y4" s="189"/>
      <c r="Z4" s="189"/>
      <c r="AA4" s="189"/>
      <c r="AB4" s="189"/>
      <c r="AC4" s="189"/>
      <c r="AD4" s="189"/>
      <c r="AE4" s="189"/>
      <c r="AF4" s="189"/>
      <c r="AG4" s="189"/>
      <c r="AH4" s="115"/>
      <c r="AI4" s="115"/>
      <c r="AJ4" s="115"/>
      <c r="AK4" s="115"/>
      <c r="AL4" s="115"/>
      <c r="AM4" s="115"/>
      <c r="AN4" s="115"/>
      <c r="AO4" s="115"/>
    </row>
    <row r="5" spans="1:45" ht="9.75" customHeight="1">
      <c r="A5" s="116"/>
      <c r="B5" s="117"/>
      <c r="C5" s="117"/>
      <c r="D5" s="117"/>
      <c r="E5" s="117"/>
      <c r="F5" s="117"/>
      <c r="G5" s="118"/>
      <c r="H5" s="117"/>
      <c r="I5" s="117"/>
      <c r="J5" s="117"/>
      <c r="K5" s="117"/>
      <c r="L5" s="190" t="s">
        <v>3</v>
      </c>
      <c r="M5" s="190"/>
      <c r="N5" s="190"/>
      <c r="O5" s="190"/>
      <c r="P5" s="190"/>
      <c r="Q5" s="190"/>
      <c r="R5" s="190"/>
      <c r="S5" s="190"/>
      <c r="T5" s="190"/>
      <c r="U5" s="190"/>
      <c r="V5" s="190"/>
      <c r="W5" s="190"/>
      <c r="X5" s="190"/>
      <c r="Y5" s="190"/>
      <c r="Z5" s="190"/>
      <c r="AA5" s="190"/>
      <c r="AB5" s="190"/>
      <c r="AC5" s="117"/>
      <c r="AD5" s="119"/>
      <c r="AE5" s="117"/>
      <c r="AF5" s="117"/>
      <c r="AG5" s="117"/>
      <c r="AH5" s="117"/>
      <c r="AI5" s="117"/>
      <c r="AJ5" s="117"/>
      <c r="AK5" s="117"/>
      <c r="AL5" s="117"/>
      <c r="AM5" s="117"/>
      <c r="AN5" s="117"/>
      <c r="AO5" s="120"/>
    </row>
    <row r="6" spans="1:45" ht="9.75" customHeight="1">
      <c r="A6" s="121"/>
      <c r="B6" s="122"/>
      <c r="C6" s="122"/>
      <c r="D6" s="122"/>
      <c r="E6" s="122"/>
      <c r="F6" s="122"/>
      <c r="G6" s="123"/>
      <c r="H6" s="122"/>
      <c r="I6" s="122"/>
      <c r="J6" s="122"/>
      <c r="K6" s="122"/>
      <c r="L6" s="191"/>
      <c r="M6" s="191"/>
      <c r="N6" s="191"/>
      <c r="O6" s="191"/>
      <c r="P6" s="191"/>
      <c r="Q6" s="191"/>
      <c r="R6" s="191"/>
      <c r="S6" s="191"/>
      <c r="T6" s="191"/>
      <c r="U6" s="191"/>
      <c r="V6" s="191"/>
      <c r="W6" s="191"/>
      <c r="X6" s="191"/>
      <c r="Y6" s="191"/>
      <c r="Z6" s="191"/>
      <c r="AA6" s="191"/>
      <c r="AB6" s="191"/>
      <c r="AC6" s="122"/>
      <c r="AD6" s="124"/>
      <c r="AE6" s="122"/>
      <c r="AF6" s="122"/>
      <c r="AG6" s="122"/>
      <c r="AH6" s="122"/>
      <c r="AI6" s="122"/>
      <c r="AJ6" s="122"/>
      <c r="AK6" s="122"/>
      <c r="AL6" s="122"/>
      <c r="AM6" s="122"/>
      <c r="AN6" s="122"/>
      <c r="AO6" s="125"/>
    </row>
    <row r="7" spans="1:45" ht="9.75" customHeight="1">
      <c r="A7" s="121"/>
      <c r="B7" s="122"/>
      <c r="C7" s="122"/>
      <c r="D7" s="122"/>
      <c r="E7" s="122"/>
      <c r="F7" s="122"/>
      <c r="G7" s="123"/>
      <c r="H7" s="122"/>
      <c r="I7" s="122"/>
      <c r="J7" s="122"/>
      <c r="K7" s="122"/>
      <c r="L7" s="191"/>
      <c r="M7" s="191"/>
      <c r="N7" s="191"/>
      <c r="O7" s="191"/>
      <c r="P7" s="191"/>
      <c r="Q7" s="191"/>
      <c r="R7" s="191"/>
      <c r="S7" s="191"/>
      <c r="T7" s="191"/>
      <c r="U7" s="191"/>
      <c r="V7" s="191"/>
      <c r="W7" s="191"/>
      <c r="X7" s="191"/>
      <c r="Y7" s="191"/>
      <c r="Z7" s="191"/>
      <c r="AA7" s="191"/>
      <c r="AB7" s="191"/>
      <c r="AC7" s="122"/>
      <c r="AD7" s="124"/>
      <c r="AE7" s="122"/>
      <c r="AF7" s="122"/>
      <c r="AG7" s="122"/>
      <c r="AH7" s="122"/>
      <c r="AI7" s="122"/>
      <c r="AJ7" s="122"/>
      <c r="AK7" s="122"/>
      <c r="AL7" s="122"/>
      <c r="AM7" s="122"/>
      <c r="AN7" s="122"/>
      <c r="AO7" s="125"/>
    </row>
    <row r="8" spans="1:45" ht="9.75" customHeight="1">
      <c r="A8" s="121"/>
      <c r="B8" s="122"/>
      <c r="C8" s="122"/>
      <c r="D8" s="122"/>
      <c r="E8" s="122"/>
      <c r="F8" s="122"/>
      <c r="G8" s="123"/>
      <c r="H8" s="122"/>
      <c r="I8" s="122"/>
      <c r="J8" s="122"/>
      <c r="K8" s="122"/>
      <c r="L8" s="191"/>
      <c r="M8" s="191"/>
      <c r="N8" s="191"/>
      <c r="O8" s="191"/>
      <c r="P8" s="191"/>
      <c r="Q8" s="191"/>
      <c r="R8" s="191"/>
      <c r="S8" s="191"/>
      <c r="T8" s="191"/>
      <c r="U8" s="191"/>
      <c r="V8" s="191"/>
      <c r="W8" s="191"/>
      <c r="X8" s="191"/>
      <c r="Y8" s="191"/>
      <c r="Z8" s="191"/>
      <c r="AA8" s="191"/>
      <c r="AB8" s="191"/>
      <c r="AC8" s="122"/>
      <c r="AD8" s="124"/>
      <c r="AE8" s="122"/>
      <c r="AF8" s="122"/>
      <c r="AG8" s="122"/>
      <c r="AH8" s="122"/>
      <c r="AI8" s="122"/>
      <c r="AJ8" s="122"/>
      <c r="AK8" s="122"/>
      <c r="AL8" s="122"/>
      <c r="AM8" s="122"/>
      <c r="AN8" s="122"/>
      <c r="AO8" s="125"/>
    </row>
    <row r="9" spans="1:45" ht="9.75" customHeight="1" thickBot="1">
      <c r="A9" s="126"/>
      <c r="G9" s="127"/>
      <c r="H9" s="128"/>
      <c r="I9" s="129"/>
      <c r="J9" s="129"/>
      <c r="K9" s="129"/>
      <c r="L9" s="192"/>
      <c r="M9" s="192"/>
      <c r="N9" s="192"/>
      <c r="O9" s="192"/>
      <c r="P9" s="192"/>
      <c r="Q9" s="192"/>
      <c r="R9" s="192"/>
      <c r="S9" s="192"/>
      <c r="T9" s="192"/>
      <c r="U9" s="192"/>
      <c r="V9" s="192"/>
      <c r="W9" s="192"/>
      <c r="X9" s="192"/>
      <c r="Y9" s="192"/>
      <c r="Z9" s="192"/>
      <c r="AA9" s="192"/>
      <c r="AB9" s="192"/>
      <c r="AC9" s="130"/>
      <c r="AD9" s="131"/>
      <c r="AO9" s="132"/>
    </row>
    <row r="10" spans="1:45" ht="10.5" customHeight="1" thickBot="1">
      <c r="A10" s="133" t="s">
        <v>4</v>
      </c>
      <c r="B10" s="134"/>
      <c r="C10" s="134"/>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4"/>
      <c r="AG10" s="134"/>
      <c r="AH10" s="134"/>
      <c r="AI10" s="134"/>
      <c r="AJ10" s="134"/>
      <c r="AK10" s="134"/>
      <c r="AL10" s="134"/>
      <c r="AM10" s="134"/>
      <c r="AN10" s="134"/>
      <c r="AO10" s="135"/>
    </row>
    <row r="11" spans="1:45" s="110" customFormat="1" ht="3" customHeight="1">
      <c r="A11" s="168">
        <v>1</v>
      </c>
      <c r="B11" s="171" t="s">
        <v>5</v>
      </c>
      <c r="C11" s="171"/>
      <c r="D11" s="171"/>
      <c r="E11" s="171"/>
      <c r="F11" s="136"/>
      <c r="G11" s="136"/>
      <c r="H11" s="174" t="s">
        <v>6</v>
      </c>
      <c r="I11" s="174"/>
      <c r="J11" s="136"/>
      <c r="K11" s="136"/>
      <c r="L11" s="136"/>
      <c r="M11" s="136"/>
      <c r="N11" s="136"/>
      <c r="O11" s="136"/>
      <c r="P11" s="136"/>
      <c r="Q11" s="136"/>
      <c r="R11" s="177" t="s">
        <v>7</v>
      </c>
      <c r="S11" s="177"/>
      <c r="T11" s="177"/>
      <c r="U11" s="177"/>
      <c r="V11" s="136"/>
      <c r="W11" s="136"/>
      <c r="X11" s="136"/>
      <c r="Y11" s="171" t="s">
        <v>8</v>
      </c>
      <c r="Z11" s="171"/>
      <c r="AA11" s="136"/>
      <c r="AB11" s="136"/>
      <c r="AC11" s="136"/>
      <c r="AD11" s="136"/>
      <c r="AE11" s="136"/>
      <c r="AF11" s="136"/>
      <c r="AG11" s="136"/>
      <c r="AH11" s="136"/>
      <c r="AI11" s="180" t="s">
        <v>7</v>
      </c>
      <c r="AJ11" s="180"/>
      <c r="AK11" s="180"/>
      <c r="AL11" s="180"/>
      <c r="AM11" s="180"/>
      <c r="AN11" s="180"/>
      <c r="AO11" s="181"/>
      <c r="AP11" s="108"/>
      <c r="AQ11" s="109"/>
    </row>
    <row r="12" spans="1:45" s="110" customFormat="1" ht="5.25" customHeight="1">
      <c r="A12" s="169"/>
      <c r="B12" s="172"/>
      <c r="C12" s="172"/>
      <c r="D12" s="172"/>
      <c r="E12" s="172"/>
      <c r="F12" s="108"/>
      <c r="G12" s="108"/>
      <c r="H12" s="175"/>
      <c r="I12" s="175"/>
      <c r="J12" s="137"/>
      <c r="K12" s="138"/>
      <c r="L12" s="137"/>
      <c r="M12" s="138"/>
      <c r="N12" s="137"/>
      <c r="O12" s="138"/>
      <c r="P12" s="138"/>
      <c r="Q12" s="139"/>
      <c r="R12" s="178"/>
      <c r="S12" s="178"/>
      <c r="T12" s="178"/>
      <c r="U12" s="178"/>
      <c r="V12" s="108"/>
      <c r="W12" s="108"/>
      <c r="X12" s="108"/>
      <c r="Y12" s="172"/>
      <c r="Z12" s="172"/>
      <c r="AA12" s="137"/>
      <c r="AB12" s="138"/>
      <c r="AC12" s="137"/>
      <c r="AD12" s="138"/>
      <c r="AE12" s="137"/>
      <c r="AF12" s="138"/>
      <c r="AG12" s="138"/>
      <c r="AH12" s="139"/>
      <c r="AI12" s="182"/>
      <c r="AJ12" s="182"/>
      <c r="AK12" s="182"/>
      <c r="AL12" s="182"/>
      <c r="AM12" s="182"/>
      <c r="AN12" s="182"/>
      <c r="AO12" s="183"/>
      <c r="AP12" s="108"/>
      <c r="AQ12" s="109"/>
    </row>
    <row r="13" spans="1:45" s="110" customFormat="1" ht="16.350000000000001" customHeight="1" thickBot="1">
      <c r="A13" s="170"/>
      <c r="B13" s="173"/>
      <c r="C13" s="173"/>
      <c r="D13" s="173"/>
      <c r="E13" s="173"/>
      <c r="F13" s="129"/>
      <c r="G13" s="129"/>
      <c r="H13" s="176"/>
      <c r="I13" s="176"/>
      <c r="J13" s="140">
        <v>0</v>
      </c>
      <c r="K13" s="140">
        <v>4</v>
      </c>
      <c r="L13" s="141" t="str">
        <f>MID(AQ13,7,1)</f>
        <v>0</v>
      </c>
      <c r="M13" s="142" t="str">
        <f>MID(AQ13,8,1)</f>
        <v>1</v>
      </c>
      <c r="N13" s="141" t="str">
        <f>MID(AQ13,1,1)</f>
        <v>2</v>
      </c>
      <c r="O13" s="142" t="str">
        <f>MID(AQ13,2,1)</f>
        <v>0</v>
      </c>
      <c r="P13" s="141" t="str">
        <f>MID(AQ13,3,1)</f>
        <v>2</v>
      </c>
      <c r="Q13" s="143">
        <v>6</v>
      </c>
      <c r="R13" s="179"/>
      <c r="S13" s="179"/>
      <c r="T13" s="179"/>
      <c r="U13" s="179"/>
      <c r="V13" s="129"/>
      <c r="W13" s="129"/>
      <c r="X13" s="129"/>
      <c r="Y13" s="173"/>
      <c r="Z13" s="173"/>
      <c r="AA13" s="140">
        <v>0</v>
      </c>
      <c r="AB13" s="140">
        <v>6</v>
      </c>
      <c r="AC13" s="141" t="str">
        <f>MID(AR13,7,1)</f>
        <v>3</v>
      </c>
      <c r="AD13" s="142">
        <v>0</v>
      </c>
      <c r="AE13" s="141" t="str">
        <f>MID(AR13,1,1)</f>
        <v>2</v>
      </c>
      <c r="AF13" s="142" t="str">
        <f>MID(AR13,2,1)</f>
        <v>0</v>
      </c>
      <c r="AG13" s="141" t="str">
        <f>MID(AR13,3,1)</f>
        <v>2</v>
      </c>
      <c r="AH13" s="143">
        <v>6</v>
      </c>
      <c r="AI13" s="184"/>
      <c r="AJ13" s="184"/>
      <c r="AK13" s="184"/>
      <c r="AL13" s="184"/>
      <c r="AM13" s="184"/>
      <c r="AN13" s="184"/>
      <c r="AO13" s="185"/>
      <c r="AP13" s="108"/>
      <c r="AQ13" s="144" t="s">
        <v>9</v>
      </c>
      <c r="AR13" s="144" t="str">
        <f>VLOOKUP(AQ13,[3]Page2!AS1:AT16,2)</f>
        <v>20250930</v>
      </c>
      <c r="AS13" s="145"/>
    </row>
    <row r="14" spans="1:45" s="110" customFormat="1" ht="10.5" customHeight="1" thickBot="1">
      <c r="A14" s="209" t="s">
        <v>10</v>
      </c>
      <c r="B14" s="210"/>
      <c r="C14" s="210"/>
      <c r="D14" s="210"/>
      <c r="E14" s="210"/>
      <c r="F14" s="210"/>
      <c r="G14" s="210"/>
      <c r="H14" s="210"/>
      <c r="I14" s="210"/>
      <c r="J14" s="210"/>
      <c r="K14" s="210"/>
      <c r="L14" s="210"/>
      <c r="M14" s="210"/>
      <c r="N14" s="210"/>
      <c r="O14" s="210"/>
      <c r="P14" s="210"/>
      <c r="Q14" s="210"/>
      <c r="R14" s="210"/>
      <c r="S14" s="210"/>
      <c r="T14" s="210"/>
      <c r="U14" s="210"/>
      <c r="V14" s="210"/>
      <c r="W14" s="210"/>
      <c r="X14" s="210"/>
      <c r="Y14" s="210"/>
      <c r="Z14" s="210"/>
      <c r="AA14" s="210"/>
      <c r="AB14" s="210"/>
      <c r="AC14" s="210"/>
      <c r="AD14" s="210"/>
      <c r="AE14" s="210"/>
      <c r="AF14" s="210"/>
      <c r="AG14" s="210"/>
      <c r="AH14" s="210"/>
      <c r="AI14" s="210"/>
      <c r="AJ14" s="210"/>
      <c r="AK14" s="210"/>
      <c r="AL14" s="210"/>
      <c r="AM14" s="210"/>
      <c r="AN14" s="210"/>
      <c r="AO14" s="211"/>
      <c r="AP14" s="108"/>
      <c r="AQ14" s="109"/>
    </row>
    <row r="15" spans="1:45" s="110" customFormat="1" ht="3" customHeight="1">
      <c r="A15" s="168">
        <v>2</v>
      </c>
      <c r="B15" s="213" t="s">
        <v>11</v>
      </c>
      <c r="C15" s="213"/>
      <c r="D15" s="213"/>
      <c r="E15" s="213"/>
      <c r="F15" s="213"/>
      <c r="G15" s="213"/>
      <c r="H15" s="213"/>
      <c r="I15" s="213"/>
      <c r="J15" s="213"/>
      <c r="K15" s="213"/>
      <c r="L15" s="213"/>
      <c r="M15" s="213"/>
      <c r="N15" s="136"/>
      <c r="O15" s="136"/>
      <c r="P15" s="136"/>
      <c r="Q15" s="136"/>
      <c r="R15" s="136"/>
      <c r="S15" s="136"/>
      <c r="T15" s="136"/>
      <c r="U15" s="136"/>
      <c r="V15" s="136"/>
      <c r="W15" s="136"/>
      <c r="X15" s="136"/>
      <c r="Y15" s="136"/>
      <c r="Z15" s="136"/>
      <c r="AA15" s="136"/>
      <c r="AB15" s="136"/>
      <c r="AC15" s="136"/>
      <c r="AD15" s="136"/>
      <c r="AE15" s="136"/>
      <c r="AF15" s="136"/>
      <c r="AG15" s="136"/>
      <c r="AH15" s="136"/>
      <c r="AI15" s="136"/>
      <c r="AJ15" s="136"/>
      <c r="AK15" s="136"/>
      <c r="AL15" s="136"/>
      <c r="AM15" s="136"/>
      <c r="AN15" s="136"/>
      <c r="AO15" s="146"/>
      <c r="AP15" s="108"/>
      <c r="AQ15" s="216"/>
    </row>
    <row r="16" spans="1:45" s="110" customFormat="1" ht="5.25" customHeight="1">
      <c r="A16" s="169"/>
      <c r="B16" s="214"/>
      <c r="C16" s="214"/>
      <c r="D16" s="214"/>
      <c r="E16" s="214"/>
      <c r="F16" s="214"/>
      <c r="G16" s="214"/>
      <c r="H16" s="214"/>
      <c r="I16" s="214"/>
      <c r="J16" s="214"/>
      <c r="K16" s="214"/>
      <c r="L16" s="214"/>
      <c r="M16" s="214"/>
      <c r="N16" s="137"/>
      <c r="O16" s="138"/>
      <c r="P16" s="138"/>
      <c r="Q16" s="147"/>
      <c r="R16" s="137"/>
      <c r="S16" s="138"/>
      <c r="T16" s="138"/>
      <c r="U16" s="147"/>
      <c r="V16" s="137"/>
      <c r="W16" s="138"/>
      <c r="X16" s="138"/>
      <c r="Y16" s="147"/>
      <c r="Z16" s="137"/>
      <c r="AA16" s="138"/>
      <c r="AB16" s="138"/>
      <c r="AC16" s="138"/>
      <c r="AD16" s="139"/>
      <c r="AE16" s="108"/>
      <c r="AF16" s="108"/>
      <c r="AG16" s="108"/>
      <c r="AH16" s="108"/>
      <c r="AI16" s="108"/>
      <c r="AJ16" s="108"/>
      <c r="AK16" s="108"/>
      <c r="AL16" s="108"/>
      <c r="AM16" s="108"/>
      <c r="AN16" s="108"/>
      <c r="AO16" s="132"/>
      <c r="AP16" s="108"/>
      <c r="AQ16" s="216"/>
      <c r="AR16" s="217"/>
    </row>
    <row r="17" spans="1:47" s="110" customFormat="1" ht="16.350000000000001" customHeight="1">
      <c r="A17" s="212"/>
      <c r="B17" s="215"/>
      <c r="C17" s="215"/>
      <c r="D17" s="215"/>
      <c r="E17" s="215"/>
      <c r="F17" s="215"/>
      <c r="G17" s="215"/>
      <c r="H17" s="215"/>
      <c r="I17" s="215"/>
      <c r="J17" s="215"/>
      <c r="K17" s="215"/>
      <c r="L17" s="215"/>
      <c r="M17" s="215"/>
      <c r="N17" s="148">
        <v>0</v>
      </c>
      <c r="O17" s="149">
        <v>0</v>
      </c>
      <c r="P17" s="148">
        <v>9</v>
      </c>
      <c r="Q17" s="150" t="s">
        <v>12</v>
      </c>
      <c r="R17" s="148">
        <v>3</v>
      </c>
      <c r="S17" s="149">
        <v>9</v>
      </c>
      <c r="T17" s="148">
        <v>8</v>
      </c>
      <c r="U17" s="150" t="s">
        <v>12</v>
      </c>
      <c r="V17" s="148">
        <v>8</v>
      </c>
      <c r="W17" s="149">
        <v>1</v>
      </c>
      <c r="X17" s="148">
        <v>6</v>
      </c>
      <c r="Y17" s="150" t="s">
        <v>12</v>
      </c>
      <c r="Z17" s="148">
        <v>0</v>
      </c>
      <c r="AA17" s="149">
        <v>0</v>
      </c>
      <c r="AB17" s="148">
        <v>0</v>
      </c>
      <c r="AC17" s="148">
        <v>0</v>
      </c>
      <c r="AD17" s="148">
        <v>0</v>
      </c>
      <c r="AE17" s="151"/>
      <c r="AF17" s="151"/>
      <c r="AG17" s="151"/>
      <c r="AH17" s="151"/>
      <c r="AI17" s="151"/>
      <c r="AJ17" s="151"/>
      <c r="AK17" s="151"/>
      <c r="AL17" s="151"/>
      <c r="AM17" s="151"/>
      <c r="AN17" s="151"/>
      <c r="AO17" s="152"/>
      <c r="AP17" s="108"/>
      <c r="AQ17" s="216"/>
      <c r="AR17" s="218"/>
    </row>
    <row r="18" spans="1:47" s="110" customFormat="1" ht="10.5" customHeight="1">
      <c r="A18" s="153">
        <v>3</v>
      </c>
      <c r="B18" s="108" t="s">
        <v>13</v>
      </c>
      <c r="C18" s="108"/>
      <c r="D18" s="108"/>
      <c r="E18" s="108"/>
      <c r="F18" s="108"/>
      <c r="G18" s="108"/>
      <c r="H18" s="108"/>
      <c r="I18" s="108"/>
      <c r="J18" s="108"/>
      <c r="K18" s="108"/>
      <c r="L18" s="108"/>
      <c r="M18" s="108"/>
      <c r="N18" s="108"/>
      <c r="O18" s="108"/>
      <c r="P18" s="108"/>
      <c r="Q18" s="108"/>
      <c r="R18" s="108"/>
      <c r="S18" s="108"/>
      <c r="T18" s="108"/>
      <c r="U18" s="108"/>
      <c r="V18" s="108"/>
      <c r="W18" s="108"/>
      <c r="X18" s="108"/>
      <c r="Y18" s="108"/>
      <c r="Z18" s="108"/>
      <c r="AA18" s="108"/>
      <c r="AB18" s="108"/>
      <c r="AC18" s="108"/>
      <c r="AD18" s="108"/>
      <c r="AE18" s="108"/>
      <c r="AF18" s="108"/>
      <c r="AG18" s="108"/>
      <c r="AH18" s="108"/>
      <c r="AI18" s="108"/>
      <c r="AJ18" s="108"/>
      <c r="AK18" s="108"/>
      <c r="AL18" s="108"/>
      <c r="AM18" s="108"/>
      <c r="AN18" s="108"/>
      <c r="AO18" s="132"/>
      <c r="AP18" s="108"/>
      <c r="AQ18" s="109"/>
    </row>
    <row r="19" spans="1:47" s="110" customFormat="1" ht="9.6" customHeight="1">
      <c r="A19" s="154"/>
      <c r="B19" s="219" t="s">
        <v>14</v>
      </c>
      <c r="C19" s="220"/>
      <c r="D19" s="220"/>
      <c r="E19" s="220"/>
      <c r="F19" s="220"/>
      <c r="G19" s="220"/>
      <c r="H19" s="220"/>
      <c r="I19" s="220"/>
      <c r="J19" s="220"/>
      <c r="K19" s="220"/>
      <c r="L19" s="220"/>
      <c r="M19" s="220"/>
      <c r="N19" s="220"/>
      <c r="O19" s="220"/>
      <c r="P19" s="220"/>
      <c r="Q19" s="220"/>
      <c r="R19" s="220"/>
      <c r="S19" s="220"/>
      <c r="T19" s="220"/>
      <c r="U19" s="220"/>
      <c r="V19" s="220"/>
      <c r="W19" s="220"/>
      <c r="X19" s="220"/>
      <c r="Y19" s="220"/>
      <c r="Z19" s="220"/>
      <c r="AA19" s="220"/>
      <c r="AB19" s="220"/>
      <c r="AC19" s="220"/>
      <c r="AD19" s="220"/>
      <c r="AE19" s="220"/>
      <c r="AF19" s="220"/>
      <c r="AG19" s="220"/>
      <c r="AH19" s="220"/>
      <c r="AI19" s="220"/>
      <c r="AJ19" s="220"/>
      <c r="AK19" s="220"/>
      <c r="AL19" s="220"/>
      <c r="AM19" s="220"/>
      <c r="AN19" s="221"/>
      <c r="AO19" s="132"/>
      <c r="AP19" s="108"/>
      <c r="AQ19" s="202"/>
      <c r="AR19" s="202"/>
      <c r="AS19" s="202"/>
      <c r="AT19" s="202"/>
    </row>
    <row r="20" spans="1:47" s="110" customFormat="1" ht="9.6" customHeight="1">
      <c r="A20" s="154"/>
      <c r="B20" s="222"/>
      <c r="C20" s="223"/>
      <c r="D20" s="223"/>
      <c r="E20" s="223"/>
      <c r="F20" s="223"/>
      <c r="G20" s="223"/>
      <c r="H20" s="223"/>
      <c r="I20" s="223"/>
      <c r="J20" s="223"/>
      <c r="K20" s="223"/>
      <c r="L20" s="223"/>
      <c r="M20" s="223"/>
      <c r="N20" s="223"/>
      <c r="O20" s="223"/>
      <c r="P20" s="223"/>
      <c r="Q20" s="223"/>
      <c r="R20" s="223"/>
      <c r="S20" s="223"/>
      <c r="T20" s="223"/>
      <c r="U20" s="223"/>
      <c r="V20" s="223"/>
      <c r="W20" s="223"/>
      <c r="X20" s="223"/>
      <c r="Y20" s="223"/>
      <c r="Z20" s="223"/>
      <c r="AA20" s="223"/>
      <c r="AB20" s="223"/>
      <c r="AC20" s="223"/>
      <c r="AD20" s="223"/>
      <c r="AE20" s="223"/>
      <c r="AF20" s="223"/>
      <c r="AG20" s="223"/>
      <c r="AH20" s="223"/>
      <c r="AI20" s="223"/>
      <c r="AJ20" s="223"/>
      <c r="AK20" s="223"/>
      <c r="AL20" s="223"/>
      <c r="AM20" s="223"/>
      <c r="AN20" s="224"/>
      <c r="AO20" s="132"/>
      <c r="AP20" s="108"/>
      <c r="AQ20" s="202"/>
      <c r="AR20" s="202"/>
      <c r="AS20" s="202"/>
      <c r="AT20" s="202"/>
    </row>
    <row r="21" spans="1:47" s="110" customFormat="1" ht="3" customHeight="1">
      <c r="A21" s="154"/>
      <c r="B21" s="108"/>
      <c r="C21" s="108"/>
      <c r="D21" s="108"/>
      <c r="E21" s="108"/>
      <c r="F21" s="108"/>
      <c r="G21" s="108"/>
      <c r="H21" s="108"/>
      <c r="I21" s="108"/>
      <c r="J21" s="108"/>
      <c r="K21" s="108"/>
      <c r="L21" s="108"/>
      <c r="M21" s="108"/>
      <c r="N21" s="108"/>
      <c r="O21" s="108"/>
      <c r="P21" s="108"/>
      <c r="Q21" s="108"/>
      <c r="R21" s="108"/>
      <c r="S21" s="108"/>
      <c r="T21" s="108"/>
      <c r="U21" s="108"/>
      <c r="V21" s="108"/>
      <c r="W21" s="108"/>
      <c r="X21" s="108"/>
      <c r="Y21" s="108"/>
      <c r="Z21" s="108"/>
      <c r="AA21" s="108"/>
      <c r="AB21" s="108"/>
      <c r="AC21" s="108"/>
      <c r="AD21" s="108"/>
      <c r="AE21" s="108"/>
      <c r="AF21" s="108"/>
      <c r="AG21" s="108"/>
      <c r="AH21" s="108"/>
      <c r="AI21" s="108"/>
      <c r="AJ21" s="108"/>
      <c r="AK21" s="108"/>
      <c r="AL21" s="108"/>
      <c r="AM21" s="108"/>
      <c r="AN21" s="108"/>
      <c r="AO21" s="132"/>
      <c r="AP21" s="108"/>
      <c r="AQ21" s="109"/>
    </row>
    <row r="22" spans="1:47" s="110" customFormat="1" ht="10.5" customHeight="1">
      <c r="A22" s="153">
        <v>4</v>
      </c>
      <c r="B22" s="108" t="s">
        <v>15</v>
      </c>
      <c r="C22" s="108"/>
      <c r="D22" s="108"/>
      <c r="E22" s="108"/>
      <c r="F22" s="108"/>
      <c r="G22" s="108"/>
      <c r="H22" s="108"/>
      <c r="I22" s="108"/>
      <c r="J22" s="108"/>
      <c r="K22" s="108"/>
      <c r="L22" s="108"/>
      <c r="M22" s="108"/>
      <c r="N22" s="108"/>
      <c r="O22" s="108"/>
      <c r="P22" s="108"/>
      <c r="Q22" s="108"/>
      <c r="R22" s="108"/>
      <c r="S22" s="108"/>
      <c r="T22" s="108"/>
      <c r="U22" s="108"/>
      <c r="V22" s="108"/>
      <c r="W22" s="108"/>
      <c r="X22" s="108"/>
      <c r="Y22" s="108"/>
      <c r="Z22" s="108"/>
      <c r="AA22" s="108"/>
      <c r="AB22" s="108"/>
      <c r="AC22" s="108"/>
      <c r="AD22" s="108"/>
      <c r="AE22" s="108"/>
      <c r="AF22" s="108"/>
      <c r="AG22" s="108"/>
      <c r="AH22" s="108"/>
      <c r="AI22" s="108"/>
      <c r="AJ22" s="108"/>
      <c r="AK22" s="112" t="s">
        <v>16</v>
      </c>
      <c r="AL22" s="108" t="s">
        <v>17</v>
      </c>
      <c r="AM22" s="108"/>
      <c r="AN22" s="108"/>
      <c r="AO22" s="132"/>
      <c r="AP22" s="108"/>
      <c r="AQ22" s="109"/>
    </row>
    <row r="23" spans="1:47" s="110" customFormat="1" ht="3.6" customHeight="1">
      <c r="A23" s="154"/>
      <c r="B23" s="193" t="s">
        <v>18</v>
      </c>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c r="AA23" s="194"/>
      <c r="AB23" s="194"/>
      <c r="AC23" s="194"/>
      <c r="AD23" s="194"/>
      <c r="AE23" s="194"/>
      <c r="AF23" s="194"/>
      <c r="AG23" s="194"/>
      <c r="AH23" s="194"/>
      <c r="AI23" s="195"/>
      <c r="AJ23" s="108"/>
      <c r="AK23" s="137"/>
      <c r="AL23" s="138"/>
      <c r="AM23" s="138"/>
      <c r="AN23" s="139"/>
      <c r="AO23" s="132"/>
      <c r="AP23" s="108"/>
      <c r="AQ23" s="202" t="str">
        <f>IFERROR(VLOOKUP($AQ$15,#REF!,3,0),"")</f>
        <v/>
      </c>
      <c r="AR23" s="202"/>
      <c r="AS23" s="202"/>
      <c r="AT23" s="202"/>
      <c r="AU23" s="202"/>
    </row>
    <row r="24" spans="1:47" s="110" customFormat="1" ht="7.5" customHeight="1">
      <c r="A24" s="154"/>
      <c r="B24" s="196"/>
      <c r="C24" s="197"/>
      <c r="D24" s="197"/>
      <c r="E24" s="197"/>
      <c r="F24" s="197"/>
      <c r="G24" s="197"/>
      <c r="H24" s="197"/>
      <c r="I24" s="197"/>
      <c r="J24" s="197"/>
      <c r="K24" s="197"/>
      <c r="L24" s="197"/>
      <c r="M24" s="197"/>
      <c r="N24" s="197"/>
      <c r="O24" s="197"/>
      <c r="P24" s="197"/>
      <c r="Q24" s="197"/>
      <c r="R24" s="197"/>
      <c r="S24" s="197"/>
      <c r="T24" s="197"/>
      <c r="U24" s="197"/>
      <c r="V24" s="197"/>
      <c r="W24" s="197"/>
      <c r="X24" s="197"/>
      <c r="Y24" s="197"/>
      <c r="Z24" s="197"/>
      <c r="AA24" s="197"/>
      <c r="AB24" s="197"/>
      <c r="AC24" s="197"/>
      <c r="AD24" s="197"/>
      <c r="AE24" s="197"/>
      <c r="AF24" s="197"/>
      <c r="AG24" s="197"/>
      <c r="AH24" s="197"/>
      <c r="AI24" s="198"/>
      <c r="AJ24" s="108"/>
      <c r="AK24" s="203">
        <v>1</v>
      </c>
      <c r="AL24" s="205">
        <v>1</v>
      </c>
      <c r="AM24" s="207">
        <v>0</v>
      </c>
      <c r="AN24" s="205">
        <v>1</v>
      </c>
      <c r="AO24" s="132"/>
      <c r="AP24" s="108"/>
      <c r="AQ24" s="202"/>
      <c r="AR24" s="202"/>
      <c r="AS24" s="202"/>
      <c r="AT24" s="202"/>
      <c r="AU24" s="202"/>
    </row>
    <row r="25" spans="1:47" s="110" customFormat="1" ht="7.5" customHeight="1">
      <c r="A25" s="154"/>
      <c r="B25" s="199"/>
      <c r="C25" s="200"/>
      <c r="D25" s="200"/>
      <c r="E25" s="200"/>
      <c r="F25" s="200"/>
      <c r="G25" s="200"/>
      <c r="H25" s="200"/>
      <c r="I25" s="200"/>
      <c r="J25" s="200"/>
      <c r="K25" s="200"/>
      <c r="L25" s="200"/>
      <c r="M25" s="200"/>
      <c r="N25" s="200"/>
      <c r="O25" s="200"/>
      <c r="P25" s="200"/>
      <c r="Q25" s="200"/>
      <c r="R25" s="200"/>
      <c r="S25" s="200"/>
      <c r="T25" s="200"/>
      <c r="U25" s="200"/>
      <c r="V25" s="200"/>
      <c r="W25" s="200"/>
      <c r="X25" s="200"/>
      <c r="Y25" s="200"/>
      <c r="Z25" s="200"/>
      <c r="AA25" s="200"/>
      <c r="AB25" s="200"/>
      <c r="AC25" s="200"/>
      <c r="AD25" s="200"/>
      <c r="AE25" s="200"/>
      <c r="AF25" s="200"/>
      <c r="AG25" s="200"/>
      <c r="AH25" s="200"/>
      <c r="AI25" s="201"/>
      <c r="AJ25" s="108"/>
      <c r="AK25" s="204"/>
      <c r="AL25" s="206"/>
      <c r="AM25" s="208"/>
      <c r="AN25" s="206"/>
      <c r="AO25" s="132"/>
      <c r="AP25" s="108"/>
      <c r="AQ25" s="202"/>
      <c r="AR25" s="202"/>
      <c r="AS25" s="202"/>
      <c r="AT25" s="202"/>
      <c r="AU25" s="202"/>
    </row>
    <row r="26" spans="1:47" s="110" customFormat="1" ht="3" customHeight="1">
      <c r="A26" s="154"/>
      <c r="B26" s="108"/>
      <c r="C26" s="108"/>
      <c r="D26" s="108"/>
      <c r="E26" s="108"/>
      <c r="F26" s="108"/>
      <c r="G26" s="108"/>
      <c r="H26" s="108"/>
      <c r="I26" s="108"/>
      <c r="J26" s="108"/>
      <c r="K26" s="108"/>
      <c r="L26" s="108"/>
      <c r="M26" s="108"/>
      <c r="N26" s="108"/>
      <c r="O26" s="108"/>
      <c r="P26" s="108"/>
      <c r="Q26" s="108"/>
      <c r="R26" s="108"/>
      <c r="S26" s="108"/>
      <c r="T26" s="108"/>
      <c r="U26" s="108"/>
      <c r="V26" s="108"/>
      <c r="W26" s="108"/>
      <c r="X26" s="108"/>
      <c r="Y26" s="108"/>
      <c r="Z26" s="108"/>
      <c r="AA26" s="108"/>
      <c r="AB26" s="108"/>
      <c r="AC26" s="108"/>
      <c r="AD26" s="108"/>
      <c r="AE26" s="108"/>
      <c r="AF26" s="108"/>
      <c r="AG26" s="108"/>
      <c r="AH26" s="108"/>
      <c r="AI26" s="108"/>
      <c r="AJ26" s="108"/>
      <c r="AK26" s="108"/>
      <c r="AL26" s="108"/>
      <c r="AM26" s="108"/>
      <c r="AN26" s="108"/>
      <c r="AO26" s="132"/>
      <c r="AP26" s="108"/>
      <c r="AQ26" s="109"/>
    </row>
    <row r="27" spans="1:47" s="110" customFormat="1" ht="10.5" customHeight="1">
      <c r="A27" s="153">
        <v>5</v>
      </c>
      <c r="B27" s="108" t="s">
        <v>19</v>
      </c>
      <c r="C27" s="108"/>
      <c r="D27" s="108"/>
      <c r="E27" s="108"/>
      <c r="F27" s="108"/>
      <c r="G27" s="108"/>
      <c r="H27" s="108"/>
      <c r="I27" s="108"/>
      <c r="J27" s="108"/>
      <c r="K27" s="108"/>
      <c r="L27" s="108"/>
      <c r="M27" s="108"/>
      <c r="N27" s="108"/>
      <c r="O27" s="108"/>
      <c r="P27" s="108"/>
      <c r="Q27" s="108"/>
      <c r="R27" s="108"/>
      <c r="S27" s="108"/>
      <c r="T27" s="108"/>
      <c r="U27" s="108"/>
      <c r="V27" s="108"/>
      <c r="W27" s="108"/>
      <c r="X27" s="108"/>
      <c r="Y27" s="108"/>
      <c r="Z27" s="108"/>
      <c r="AA27" s="108"/>
      <c r="AB27" s="108"/>
      <c r="AC27" s="108"/>
      <c r="AD27" s="108"/>
      <c r="AE27" s="108"/>
      <c r="AF27" s="108"/>
      <c r="AG27" s="108"/>
      <c r="AH27" s="108"/>
      <c r="AI27" s="108"/>
      <c r="AJ27" s="108"/>
      <c r="AK27" s="108"/>
      <c r="AL27" s="108"/>
      <c r="AM27" s="108"/>
      <c r="AN27" s="108"/>
      <c r="AO27" s="132"/>
      <c r="AP27" s="108"/>
      <c r="AQ27" s="109"/>
    </row>
    <row r="28" spans="1:47" s="110" customFormat="1" ht="10.5" customHeight="1">
      <c r="A28" s="154"/>
      <c r="B28" s="108"/>
      <c r="C28" s="108"/>
      <c r="D28" s="108"/>
      <c r="E28" s="108"/>
      <c r="F28" s="108"/>
      <c r="G28" s="108"/>
      <c r="H28" s="108"/>
      <c r="I28" s="108"/>
      <c r="J28" s="108"/>
      <c r="K28" s="108"/>
      <c r="L28" s="108"/>
      <c r="M28" s="108"/>
      <c r="N28" s="108"/>
      <c r="O28" s="108"/>
      <c r="P28" s="108"/>
      <c r="Q28" s="108"/>
      <c r="R28" s="108"/>
      <c r="S28" s="108"/>
      <c r="T28" s="108"/>
      <c r="U28" s="108"/>
      <c r="V28" s="108"/>
      <c r="W28" s="108"/>
      <c r="X28" s="108"/>
      <c r="Y28" s="108"/>
      <c r="Z28" s="108"/>
      <c r="AA28" s="108"/>
      <c r="AB28" s="108"/>
      <c r="AC28" s="108"/>
      <c r="AD28" s="108"/>
      <c r="AE28" s="108"/>
      <c r="AF28" s="108"/>
      <c r="AG28" s="108"/>
      <c r="AH28" s="108"/>
      <c r="AI28" s="108"/>
      <c r="AJ28" s="108"/>
      <c r="AK28" s="108"/>
      <c r="AL28" s="108"/>
      <c r="AM28" s="108"/>
      <c r="AN28" s="108"/>
      <c r="AO28" s="132"/>
      <c r="AP28" s="108"/>
      <c r="AQ28" s="109"/>
    </row>
    <row r="29" spans="1:47" s="110" customFormat="1" ht="10.5" customHeight="1" thickBot="1">
      <c r="A29" s="154"/>
      <c r="B29" s="108"/>
      <c r="C29" s="108"/>
      <c r="D29" s="108"/>
      <c r="E29" s="108"/>
      <c r="F29" s="108"/>
      <c r="G29" s="108"/>
      <c r="H29" s="108"/>
      <c r="I29" s="108"/>
      <c r="J29" s="108"/>
      <c r="K29" s="108"/>
      <c r="L29" s="108"/>
      <c r="M29" s="108"/>
      <c r="N29" s="108"/>
      <c r="O29" s="108"/>
      <c r="P29" s="108"/>
      <c r="Q29" s="108"/>
      <c r="R29" s="108"/>
      <c r="S29" s="108"/>
      <c r="T29" s="108"/>
      <c r="U29" s="108"/>
      <c r="V29" s="108"/>
      <c r="W29" s="108"/>
      <c r="X29" s="108"/>
      <c r="Y29" s="108"/>
      <c r="Z29" s="108"/>
      <c r="AA29" s="108"/>
      <c r="AB29" s="108"/>
      <c r="AC29" s="108"/>
      <c r="AD29" s="108"/>
      <c r="AE29" s="108"/>
      <c r="AF29" s="108"/>
      <c r="AG29" s="108"/>
      <c r="AH29" s="108"/>
      <c r="AI29" s="108"/>
      <c r="AJ29" s="108"/>
      <c r="AK29" s="108"/>
      <c r="AL29" s="108"/>
      <c r="AM29" s="108"/>
      <c r="AN29" s="108"/>
      <c r="AO29" s="132"/>
      <c r="AP29" s="108"/>
      <c r="AQ29" s="109"/>
    </row>
    <row r="30" spans="1:47" s="110" customFormat="1" ht="10.5" customHeight="1" thickBot="1">
      <c r="A30" s="209" t="s">
        <v>20</v>
      </c>
      <c r="B30" s="210"/>
      <c r="C30" s="210"/>
      <c r="D30" s="210"/>
      <c r="E30" s="210"/>
      <c r="F30" s="210"/>
      <c r="G30" s="210"/>
      <c r="H30" s="210"/>
      <c r="I30" s="210"/>
      <c r="J30" s="210"/>
      <c r="K30" s="210"/>
      <c r="L30" s="210"/>
      <c r="M30" s="210"/>
      <c r="N30" s="210"/>
      <c r="O30" s="210"/>
      <c r="P30" s="210"/>
      <c r="Q30" s="210"/>
      <c r="R30" s="210"/>
      <c r="S30" s="210"/>
      <c r="T30" s="210"/>
      <c r="U30" s="210"/>
      <c r="V30" s="210"/>
      <c r="W30" s="210"/>
      <c r="X30" s="210"/>
      <c r="Y30" s="210"/>
      <c r="Z30" s="210"/>
      <c r="AA30" s="210"/>
      <c r="AB30" s="210"/>
      <c r="AC30" s="210"/>
      <c r="AD30" s="210"/>
      <c r="AE30" s="210"/>
      <c r="AF30" s="210"/>
      <c r="AG30" s="210"/>
      <c r="AH30" s="210"/>
      <c r="AI30" s="210"/>
      <c r="AJ30" s="210"/>
      <c r="AK30" s="210"/>
      <c r="AL30" s="210"/>
      <c r="AM30" s="210"/>
      <c r="AN30" s="210"/>
      <c r="AO30" s="211"/>
      <c r="AP30" s="108"/>
      <c r="AQ30" s="109"/>
    </row>
    <row r="31" spans="1:47" s="110" customFormat="1" ht="3" customHeight="1">
      <c r="A31" s="168">
        <v>6</v>
      </c>
      <c r="B31" s="213" t="s">
        <v>11</v>
      </c>
      <c r="C31" s="213"/>
      <c r="D31" s="213"/>
      <c r="E31" s="213"/>
      <c r="F31" s="213"/>
      <c r="G31" s="213"/>
      <c r="H31" s="213"/>
      <c r="I31" s="213"/>
      <c r="J31" s="213"/>
      <c r="K31" s="213"/>
      <c r="L31" s="213"/>
      <c r="M31" s="213"/>
      <c r="N31" s="136"/>
      <c r="O31" s="136"/>
      <c r="P31" s="136"/>
      <c r="Q31" s="136"/>
      <c r="R31" s="136"/>
      <c r="S31" s="136"/>
      <c r="T31" s="136"/>
      <c r="U31" s="136"/>
      <c r="V31" s="136"/>
      <c r="W31" s="136"/>
      <c r="X31" s="136"/>
      <c r="Y31" s="136"/>
      <c r="Z31" s="136"/>
      <c r="AA31" s="136"/>
      <c r="AB31" s="136"/>
      <c r="AC31" s="136"/>
      <c r="AD31" s="136"/>
      <c r="AE31" s="136"/>
      <c r="AF31" s="136"/>
      <c r="AG31" s="136"/>
      <c r="AH31" s="136"/>
      <c r="AI31" s="136"/>
      <c r="AJ31" s="136"/>
      <c r="AK31" s="136"/>
      <c r="AL31" s="136"/>
      <c r="AM31" s="136"/>
      <c r="AN31" s="136"/>
      <c r="AO31" s="146"/>
      <c r="AP31" s="108"/>
      <c r="AQ31" s="109"/>
    </row>
    <row r="32" spans="1:47" s="110" customFormat="1" ht="5.25" customHeight="1">
      <c r="A32" s="169"/>
      <c r="B32" s="214"/>
      <c r="C32" s="214"/>
      <c r="D32" s="214"/>
      <c r="E32" s="214"/>
      <c r="F32" s="214"/>
      <c r="G32" s="214"/>
      <c r="H32" s="214"/>
      <c r="I32" s="214"/>
      <c r="J32" s="214"/>
      <c r="K32" s="214"/>
      <c r="L32" s="214"/>
      <c r="M32" s="214"/>
      <c r="N32" s="137"/>
      <c r="O32" s="138"/>
      <c r="P32" s="138"/>
      <c r="Q32" s="147"/>
      <c r="R32" s="137"/>
      <c r="S32" s="138"/>
      <c r="T32" s="138"/>
      <c r="U32" s="147"/>
      <c r="V32" s="137"/>
      <c r="W32" s="138"/>
      <c r="X32" s="138"/>
      <c r="Y32" s="147"/>
      <c r="Z32" s="137"/>
      <c r="AA32" s="138"/>
      <c r="AB32" s="138"/>
      <c r="AC32" s="138"/>
      <c r="AD32" s="139"/>
      <c r="AE32" s="108"/>
      <c r="AF32" s="108"/>
      <c r="AG32" s="108"/>
      <c r="AH32" s="108"/>
      <c r="AI32" s="108"/>
      <c r="AJ32" s="108"/>
      <c r="AK32" s="108"/>
      <c r="AL32" s="108"/>
      <c r="AM32" s="108"/>
      <c r="AN32" s="108"/>
      <c r="AO32" s="132"/>
      <c r="AP32" s="108"/>
      <c r="AQ32" s="109"/>
    </row>
    <row r="33" spans="1:43" s="110" customFormat="1" ht="16.350000000000001" customHeight="1">
      <c r="A33" s="212"/>
      <c r="B33" s="215"/>
      <c r="C33" s="215"/>
      <c r="D33" s="215"/>
      <c r="E33" s="215"/>
      <c r="F33" s="215"/>
      <c r="G33" s="215"/>
      <c r="H33" s="215"/>
      <c r="I33" s="215"/>
      <c r="J33" s="215"/>
      <c r="K33" s="215"/>
      <c r="L33" s="215"/>
      <c r="M33" s="215"/>
      <c r="N33" s="148">
        <v>0</v>
      </c>
      <c r="O33" s="149">
        <v>0</v>
      </c>
      <c r="P33" s="148">
        <v>0</v>
      </c>
      <c r="Q33" s="150" t="s">
        <v>12</v>
      </c>
      <c r="R33" s="148">
        <v>4</v>
      </c>
      <c r="S33" s="149">
        <v>8</v>
      </c>
      <c r="T33" s="148">
        <v>4</v>
      </c>
      <c r="U33" s="150" t="s">
        <v>12</v>
      </c>
      <c r="V33" s="148">
        <v>4</v>
      </c>
      <c r="W33" s="149">
        <v>1</v>
      </c>
      <c r="X33" s="148">
        <v>8</v>
      </c>
      <c r="Y33" s="150" t="s">
        <v>12</v>
      </c>
      <c r="Z33" s="148">
        <v>0</v>
      </c>
      <c r="AA33" s="149">
        <v>0</v>
      </c>
      <c r="AB33" s="148">
        <v>0</v>
      </c>
      <c r="AC33" s="148">
        <v>0</v>
      </c>
      <c r="AD33" s="148">
        <v>0</v>
      </c>
      <c r="AE33" s="151"/>
      <c r="AF33" s="151"/>
      <c r="AG33" s="151"/>
      <c r="AH33" s="151"/>
      <c r="AI33" s="151"/>
      <c r="AJ33" s="151"/>
      <c r="AK33" s="151"/>
      <c r="AL33" s="151"/>
      <c r="AM33" s="151"/>
      <c r="AN33" s="151"/>
      <c r="AO33" s="152"/>
      <c r="AP33" s="108"/>
      <c r="AQ33" s="109"/>
    </row>
    <row r="34" spans="1:43" s="110" customFormat="1" ht="10.5" customHeight="1">
      <c r="A34" s="153">
        <v>7</v>
      </c>
      <c r="B34" s="108" t="s">
        <v>21</v>
      </c>
      <c r="C34" s="108"/>
      <c r="D34" s="108"/>
      <c r="E34" s="108"/>
      <c r="F34" s="108"/>
      <c r="G34" s="108"/>
      <c r="H34" s="108"/>
      <c r="I34" s="108"/>
      <c r="J34" s="108"/>
      <c r="K34" s="108"/>
      <c r="L34" s="108"/>
      <c r="M34" s="108"/>
      <c r="N34" s="108"/>
      <c r="O34" s="108"/>
      <c r="P34" s="108"/>
      <c r="Q34" s="108"/>
      <c r="R34" s="108"/>
      <c r="S34" s="108"/>
      <c r="T34" s="108"/>
      <c r="U34" s="108"/>
      <c r="V34" s="108"/>
      <c r="W34" s="108"/>
      <c r="X34" s="108"/>
      <c r="Y34" s="108"/>
      <c r="Z34" s="108"/>
      <c r="AA34" s="108"/>
      <c r="AB34" s="108"/>
      <c r="AC34" s="108"/>
      <c r="AD34" s="108"/>
      <c r="AE34" s="108"/>
      <c r="AF34" s="108"/>
      <c r="AG34" s="108"/>
      <c r="AH34" s="108"/>
      <c r="AI34" s="108"/>
      <c r="AJ34" s="108"/>
      <c r="AK34" s="108"/>
      <c r="AL34" s="108"/>
      <c r="AM34" s="108"/>
      <c r="AN34" s="108"/>
      <c r="AO34" s="132"/>
      <c r="AP34" s="108"/>
      <c r="AQ34" s="109"/>
    </row>
    <row r="35" spans="1:43" s="110" customFormat="1" ht="9.6" customHeight="1">
      <c r="A35" s="154"/>
      <c r="B35" s="225" t="s">
        <v>22</v>
      </c>
      <c r="C35" s="226"/>
      <c r="D35" s="226"/>
      <c r="E35" s="226"/>
      <c r="F35" s="226"/>
      <c r="G35" s="226"/>
      <c r="H35" s="226"/>
      <c r="I35" s="226"/>
      <c r="J35" s="226"/>
      <c r="K35" s="226"/>
      <c r="L35" s="226"/>
      <c r="M35" s="226"/>
      <c r="N35" s="226"/>
      <c r="O35" s="226"/>
      <c r="P35" s="226"/>
      <c r="Q35" s="226"/>
      <c r="R35" s="226"/>
      <c r="S35" s="226"/>
      <c r="T35" s="226"/>
      <c r="U35" s="226"/>
      <c r="V35" s="226"/>
      <c r="W35" s="226"/>
      <c r="X35" s="226"/>
      <c r="Y35" s="226"/>
      <c r="Z35" s="226"/>
      <c r="AA35" s="226"/>
      <c r="AB35" s="226"/>
      <c r="AC35" s="226"/>
      <c r="AD35" s="226"/>
      <c r="AE35" s="226"/>
      <c r="AF35" s="226"/>
      <c r="AG35" s="226"/>
      <c r="AH35" s="226"/>
      <c r="AI35" s="226"/>
      <c r="AJ35" s="226"/>
      <c r="AK35" s="226"/>
      <c r="AL35" s="226"/>
      <c r="AM35" s="226"/>
      <c r="AN35" s="227"/>
      <c r="AO35" s="132"/>
      <c r="AP35" s="108"/>
      <c r="AQ35" s="109"/>
    </row>
    <row r="36" spans="1:43" s="110" customFormat="1" ht="9.6" customHeight="1">
      <c r="A36" s="154"/>
      <c r="B36" s="228"/>
      <c r="C36" s="229"/>
      <c r="D36" s="229"/>
      <c r="E36" s="229"/>
      <c r="F36" s="229"/>
      <c r="G36" s="229"/>
      <c r="H36" s="229"/>
      <c r="I36" s="229"/>
      <c r="J36" s="229"/>
      <c r="K36" s="229"/>
      <c r="L36" s="229"/>
      <c r="M36" s="229"/>
      <c r="N36" s="229"/>
      <c r="O36" s="229"/>
      <c r="P36" s="229"/>
      <c r="Q36" s="229"/>
      <c r="R36" s="229"/>
      <c r="S36" s="229"/>
      <c r="T36" s="229"/>
      <c r="U36" s="229"/>
      <c r="V36" s="229"/>
      <c r="W36" s="229"/>
      <c r="X36" s="229"/>
      <c r="Y36" s="229"/>
      <c r="Z36" s="229"/>
      <c r="AA36" s="229"/>
      <c r="AB36" s="229"/>
      <c r="AC36" s="229"/>
      <c r="AD36" s="229"/>
      <c r="AE36" s="229"/>
      <c r="AF36" s="229"/>
      <c r="AG36" s="229"/>
      <c r="AH36" s="229"/>
      <c r="AI36" s="229"/>
      <c r="AJ36" s="229"/>
      <c r="AK36" s="229"/>
      <c r="AL36" s="229"/>
      <c r="AM36" s="229"/>
      <c r="AN36" s="230"/>
      <c r="AO36" s="132"/>
      <c r="AP36" s="108"/>
      <c r="AQ36" s="109"/>
    </row>
    <row r="37" spans="1:43" s="110" customFormat="1" ht="3" customHeight="1">
      <c r="A37" s="154"/>
      <c r="B37" s="108"/>
      <c r="C37" s="108"/>
      <c r="D37" s="108"/>
      <c r="E37" s="108"/>
      <c r="F37" s="108"/>
      <c r="G37" s="108"/>
      <c r="H37" s="108"/>
      <c r="I37" s="108"/>
      <c r="J37" s="108"/>
      <c r="K37" s="108"/>
      <c r="L37" s="108"/>
      <c r="M37" s="108"/>
      <c r="N37" s="108"/>
      <c r="O37" s="108"/>
      <c r="P37" s="108"/>
      <c r="Q37" s="108"/>
      <c r="R37" s="108"/>
      <c r="S37" s="108"/>
      <c r="T37" s="108"/>
      <c r="U37" s="108"/>
      <c r="V37" s="108"/>
      <c r="W37" s="108"/>
      <c r="X37" s="108"/>
      <c r="Y37" s="108"/>
      <c r="Z37" s="108"/>
      <c r="AA37" s="108"/>
      <c r="AB37" s="108"/>
      <c r="AC37" s="108"/>
      <c r="AD37" s="108"/>
      <c r="AE37" s="108"/>
      <c r="AF37" s="108"/>
      <c r="AG37" s="108"/>
      <c r="AH37" s="108"/>
      <c r="AI37" s="108"/>
      <c r="AJ37" s="108"/>
      <c r="AK37" s="108"/>
      <c r="AL37" s="108"/>
      <c r="AM37" s="108"/>
      <c r="AN37" s="108"/>
      <c r="AO37" s="132"/>
      <c r="AP37" s="108"/>
      <c r="AQ37" s="109"/>
    </row>
    <row r="38" spans="1:43" s="110" customFormat="1" ht="10.5" customHeight="1">
      <c r="A38" s="153">
        <v>8</v>
      </c>
      <c r="B38" s="108" t="s">
        <v>15</v>
      </c>
      <c r="C38" s="108"/>
      <c r="D38" s="108"/>
      <c r="E38" s="108"/>
      <c r="F38" s="108"/>
      <c r="G38" s="108"/>
      <c r="H38" s="108"/>
      <c r="I38" s="108"/>
      <c r="J38" s="108"/>
      <c r="K38" s="108"/>
      <c r="L38" s="108"/>
      <c r="M38" s="108"/>
      <c r="N38" s="108"/>
      <c r="O38" s="108"/>
      <c r="P38" s="108"/>
      <c r="Q38" s="108"/>
      <c r="R38" s="108"/>
      <c r="S38" s="108"/>
      <c r="T38" s="108"/>
      <c r="U38" s="108"/>
      <c r="V38" s="108"/>
      <c r="W38" s="108"/>
      <c r="X38" s="108"/>
      <c r="Y38" s="108"/>
      <c r="Z38" s="108"/>
      <c r="AA38" s="108"/>
      <c r="AB38" s="108"/>
      <c r="AC38" s="108"/>
      <c r="AD38" s="108"/>
      <c r="AE38" s="108"/>
      <c r="AF38" s="108"/>
      <c r="AG38" s="108"/>
      <c r="AH38" s="108"/>
      <c r="AI38" s="108"/>
      <c r="AJ38" s="108"/>
      <c r="AK38" s="112" t="s">
        <v>23</v>
      </c>
      <c r="AL38" s="108" t="s">
        <v>17</v>
      </c>
      <c r="AM38" s="108"/>
      <c r="AN38" s="108"/>
      <c r="AO38" s="132"/>
      <c r="AP38" s="108"/>
      <c r="AQ38" s="109"/>
    </row>
    <row r="39" spans="1:43" s="110" customFormat="1" ht="3.6" customHeight="1">
      <c r="A39" s="154"/>
      <c r="B39" s="219" t="s">
        <v>24</v>
      </c>
      <c r="C39" s="220"/>
      <c r="D39" s="220"/>
      <c r="E39" s="220"/>
      <c r="F39" s="220"/>
      <c r="G39" s="220"/>
      <c r="H39" s="220"/>
      <c r="I39" s="220"/>
      <c r="J39" s="220"/>
      <c r="K39" s="220"/>
      <c r="L39" s="220"/>
      <c r="M39" s="220"/>
      <c r="N39" s="220"/>
      <c r="O39" s="220"/>
      <c r="P39" s="220"/>
      <c r="Q39" s="220"/>
      <c r="R39" s="220"/>
      <c r="S39" s="220"/>
      <c r="T39" s="220"/>
      <c r="U39" s="220"/>
      <c r="V39" s="220"/>
      <c r="W39" s="220"/>
      <c r="X39" s="220"/>
      <c r="Y39" s="220"/>
      <c r="Z39" s="220"/>
      <c r="AA39" s="220"/>
      <c r="AB39" s="220"/>
      <c r="AC39" s="220"/>
      <c r="AD39" s="220"/>
      <c r="AE39" s="220"/>
      <c r="AF39" s="220"/>
      <c r="AG39" s="220"/>
      <c r="AH39" s="220"/>
      <c r="AI39" s="221"/>
      <c r="AJ39" s="108"/>
      <c r="AK39" s="137"/>
      <c r="AL39" s="138"/>
      <c r="AM39" s="138"/>
      <c r="AN39" s="139"/>
      <c r="AO39" s="132"/>
      <c r="AP39" s="108"/>
      <c r="AQ39" s="109"/>
    </row>
    <row r="40" spans="1:43" s="110" customFormat="1" ht="7.5" customHeight="1">
      <c r="A40" s="154"/>
      <c r="B40" s="231"/>
      <c r="C40" s="232"/>
      <c r="D40" s="232"/>
      <c r="E40" s="232"/>
      <c r="F40" s="232"/>
      <c r="G40" s="232"/>
      <c r="H40" s="232"/>
      <c r="I40" s="232"/>
      <c r="J40" s="232"/>
      <c r="K40" s="232"/>
      <c r="L40" s="232"/>
      <c r="M40" s="232"/>
      <c r="N40" s="232"/>
      <c r="O40" s="232"/>
      <c r="P40" s="232"/>
      <c r="Q40" s="232"/>
      <c r="R40" s="232"/>
      <c r="S40" s="232"/>
      <c r="T40" s="232"/>
      <c r="U40" s="232"/>
      <c r="V40" s="232"/>
      <c r="W40" s="232"/>
      <c r="X40" s="232"/>
      <c r="Y40" s="232"/>
      <c r="Z40" s="232"/>
      <c r="AA40" s="232"/>
      <c r="AB40" s="232"/>
      <c r="AC40" s="232"/>
      <c r="AD40" s="232"/>
      <c r="AE40" s="232"/>
      <c r="AF40" s="232"/>
      <c r="AG40" s="232"/>
      <c r="AH40" s="232"/>
      <c r="AI40" s="233"/>
      <c r="AJ40" s="108"/>
      <c r="AK40" s="203">
        <v>1</v>
      </c>
      <c r="AL40" s="205">
        <v>2</v>
      </c>
      <c r="AM40" s="207">
        <v>2</v>
      </c>
      <c r="AN40" s="205">
        <v>3</v>
      </c>
      <c r="AO40" s="132"/>
      <c r="AP40" s="108"/>
      <c r="AQ40" s="109"/>
    </row>
    <row r="41" spans="1:43" s="110" customFormat="1" ht="7.5" customHeight="1">
      <c r="A41" s="154"/>
      <c r="B41" s="222"/>
      <c r="C41" s="223"/>
      <c r="D41" s="223"/>
      <c r="E41" s="223"/>
      <c r="F41" s="223"/>
      <c r="G41" s="223"/>
      <c r="H41" s="223"/>
      <c r="I41" s="223"/>
      <c r="J41" s="223"/>
      <c r="K41" s="223"/>
      <c r="L41" s="223"/>
      <c r="M41" s="223"/>
      <c r="N41" s="223"/>
      <c r="O41" s="223"/>
      <c r="P41" s="223"/>
      <c r="Q41" s="223"/>
      <c r="R41" s="223"/>
      <c r="S41" s="223"/>
      <c r="T41" s="223"/>
      <c r="U41" s="223"/>
      <c r="V41" s="223"/>
      <c r="W41" s="223"/>
      <c r="X41" s="223"/>
      <c r="Y41" s="223"/>
      <c r="Z41" s="223"/>
      <c r="AA41" s="223"/>
      <c r="AB41" s="223"/>
      <c r="AC41" s="223"/>
      <c r="AD41" s="223"/>
      <c r="AE41" s="223"/>
      <c r="AF41" s="223"/>
      <c r="AG41" s="223"/>
      <c r="AH41" s="223"/>
      <c r="AI41" s="224"/>
      <c r="AJ41" s="108"/>
      <c r="AK41" s="204"/>
      <c r="AL41" s="206"/>
      <c r="AM41" s="208"/>
      <c r="AN41" s="206"/>
      <c r="AO41" s="132"/>
      <c r="AP41" s="108"/>
      <c r="AQ41" s="109"/>
    </row>
    <row r="42" spans="1:43" s="110" customFormat="1" ht="3.6" customHeight="1" thickBot="1">
      <c r="A42" s="153"/>
      <c r="B42" s="108"/>
      <c r="C42" s="108"/>
      <c r="D42" s="108"/>
      <c r="E42" s="108"/>
      <c r="F42" s="108"/>
      <c r="G42" s="108"/>
      <c r="H42" s="108"/>
      <c r="I42" s="108"/>
      <c r="J42" s="108"/>
      <c r="K42" s="108"/>
      <c r="L42" s="108"/>
      <c r="M42" s="108"/>
      <c r="N42" s="108"/>
      <c r="O42" s="108"/>
      <c r="P42" s="108"/>
      <c r="Q42" s="108"/>
      <c r="R42" s="108"/>
      <c r="S42" s="108"/>
      <c r="T42" s="108"/>
      <c r="U42" s="108"/>
      <c r="V42" s="108"/>
      <c r="W42" s="108"/>
      <c r="X42" s="108"/>
      <c r="Y42" s="108"/>
      <c r="Z42" s="108"/>
      <c r="AA42" s="108"/>
      <c r="AB42" s="108"/>
      <c r="AC42" s="108"/>
      <c r="AD42" s="108"/>
      <c r="AE42" s="108"/>
      <c r="AF42" s="108"/>
      <c r="AG42" s="108"/>
      <c r="AH42" s="108"/>
      <c r="AI42" s="108"/>
      <c r="AJ42" s="108"/>
      <c r="AK42" s="112"/>
      <c r="AL42" s="108"/>
      <c r="AM42" s="108"/>
      <c r="AN42" s="108"/>
      <c r="AO42" s="132"/>
      <c r="AP42" s="108"/>
      <c r="AQ42" s="109"/>
    </row>
    <row r="43" spans="1:43" s="110" customFormat="1" ht="10.5" customHeight="1" thickBot="1">
      <c r="A43" s="234" t="s">
        <v>25</v>
      </c>
      <c r="B43" s="235"/>
      <c r="C43" s="235"/>
      <c r="D43" s="235"/>
      <c r="E43" s="235"/>
      <c r="F43" s="235"/>
      <c r="G43" s="235"/>
      <c r="H43" s="235"/>
      <c r="I43" s="235"/>
      <c r="J43" s="235"/>
      <c r="K43" s="235"/>
      <c r="L43" s="235"/>
      <c r="M43" s="235"/>
      <c r="N43" s="235"/>
      <c r="O43" s="235"/>
      <c r="P43" s="235"/>
      <c r="Q43" s="235"/>
      <c r="R43" s="235"/>
      <c r="S43" s="235"/>
      <c r="T43" s="235"/>
      <c r="U43" s="235"/>
      <c r="V43" s="235"/>
      <c r="W43" s="235"/>
      <c r="X43" s="235"/>
      <c r="Y43" s="235"/>
      <c r="Z43" s="235"/>
      <c r="AA43" s="235"/>
      <c r="AB43" s="235"/>
      <c r="AC43" s="235"/>
      <c r="AD43" s="235"/>
      <c r="AE43" s="235"/>
      <c r="AF43" s="235"/>
      <c r="AG43" s="235"/>
      <c r="AH43" s="235"/>
      <c r="AI43" s="235"/>
      <c r="AJ43" s="235"/>
      <c r="AK43" s="235"/>
      <c r="AL43" s="235"/>
      <c r="AM43" s="235"/>
      <c r="AN43" s="235"/>
      <c r="AO43" s="236"/>
      <c r="AP43" s="108"/>
      <c r="AQ43" s="109"/>
    </row>
    <row r="44" spans="1:43" s="110" customFormat="1" ht="10.5" customHeight="1">
      <c r="A44" s="237" t="s">
        <v>26</v>
      </c>
      <c r="B44" s="238"/>
      <c r="C44" s="238"/>
      <c r="D44" s="238"/>
      <c r="E44" s="238"/>
      <c r="F44" s="238"/>
      <c r="G44" s="238"/>
      <c r="H44" s="238"/>
      <c r="I44" s="238"/>
      <c r="J44" s="238"/>
      <c r="K44" s="239"/>
      <c r="L44" s="246" t="s">
        <v>27</v>
      </c>
      <c r="M44" s="238"/>
      <c r="N44" s="239"/>
      <c r="O44" s="249" t="s">
        <v>28</v>
      </c>
      <c r="P44" s="250"/>
      <c r="Q44" s="250"/>
      <c r="R44" s="250"/>
      <c r="S44" s="250"/>
      <c r="T44" s="250"/>
      <c r="U44" s="250"/>
      <c r="V44" s="250"/>
      <c r="W44" s="250"/>
      <c r="X44" s="250"/>
      <c r="Y44" s="250"/>
      <c r="Z44" s="250"/>
      <c r="AA44" s="250"/>
      <c r="AB44" s="250"/>
      <c r="AC44" s="250"/>
      <c r="AD44" s="250"/>
      <c r="AE44" s="250"/>
      <c r="AF44" s="250"/>
      <c r="AG44" s="250"/>
      <c r="AH44" s="251"/>
      <c r="AI44" s="246" t="s">
        <v>29</v>
      </c>
      <c r="AJ44" s="238"/>
      <c r="AK44" s="238"/>
      <c r="AL44" s="238"/>
      <c r="AM44" s="238"/>
      <c r="AN44" s="238"/>
      <c r="AO44" s="252"/>
      <c r="AP44" s="108"/>
      <c r="AQ44" s="109"/>
    </row>
    <row r="45" spans="1:43" s="110" customFormat="1" ht="10.5" customHeight="1">
      <c r="A45" s="240"/>
      <c r="B45" s="241"/>
      <c r="C45" s="241"/>
      <c r="D45" s="241"/>
      <c r="E45" s="241"/>
      <c r="F45" s="241"/>
      <c r="G45" s="241"/>
      <c r="H45" s="241"/>
      <c r="I45" s="241"/>
      <c r="J45" s="241"/>
      <c r="K45" s="242"/>
      <c r="L45" s="247"/>
      <c r="M45" s="241"/>
      <c r="N45" s="242"/>
      <c r="O45" s="255" t="s">
        <v>30</v>
      </c>
      <c r="P45" s="256"/>
      <c r="Q45" s="256"/>
      <c r="R45" s="256"/>
      <c r="S45" s="257"/>
      <c r="T45" s="255" t="s">
        <v>31</v>
      </c>
      <c r="U45" s="256"/>
      <c r="V45" s="256"/>
      <c r="W45" s="256"/>
      <c r="X45" s="257"/>
      <c r="Y45" s="255" t="s">
        <v>32</v>
      </c>
      <c r="Z45" s="256"/>
      <c r="AA45" s="256"/>
      <c r="AB45" s="256"/>
      <c r="AC45" s="257"/>
      <c r="AD45" s="255" t="s">
        <v>33</v>
      </c>
      <c r="AE45" s="256"/>
      <c r="AF45" s="256"/>
      <c r="AG45" s="256"/>
      <c r="AH45" s="257"/>
      <c r="AI45" s="247"/>
      <c r="AJ45" s="241"/>
      <c r="AK45" s="241"/>
      <c r="AL45" s="241"/>
      <c r="AM45" s="241"/>
      <c r="AN45" s="241"/>
      <c r="AO45" s="253"/>
      <c r="AP45" s="108"/>
      <c r="AQ45" s="216" t="s">
        <v>34</v>
      </c>
    </row>
    <row r="46" spans="1:43" s="110" customFormat="1" ht="10.5" customHeight="1">
      <c r="A46" s="243"/>
      <c r="B46" s="244"/>
      <c r="C46" s="244"/>
      <c r="D46" s="244"/>
      <c r="E46" s="244"/>
      <c r="F46" s="244"/>
      <c r="G46" s="244"/>
      <c r="H46" s="244"/>
      <c r="I46" s="244"/>
      <c r="J46" s="244"/>
      <c r="K46" s="245"/>
      <c r="L46" s="248"/>
      <c r="M46" s="244"/>
      <c r="N46" s="245"/>
      <c r="O46" s="248"/>
      <c r="P46" s="244"/>
      <c r="Q46" s="244"/>
      <c r="R46" s="244"/>
      <c r="S46" s="245"/>
      <c r="T46" s="248"/>
      <c r="U46" s="244"/>
      <c r="V46" s="244"/>
      <c r="W46" s="244"/>
      <c r="X46" s="245"/>
      <c r="Y46" s="248"/>
      <c r="Z46" s="244"/>
      <c r="AA46" s="244"/>
      <c r="AB46" s="244"/>
      <c r="AC46" s="245"/>
      <c r="AD46" s="248"/>
      <c r="AE46" s="244"/>
      <c r="AF46" s="244"/>
      <c r="AG46" s="244"/>
      <c r="AH46" s="245"/>
      <c r="AI46" s="248"/>
      <c r="AJ46" s="244"/>
      <c r="AK46" s="244"/>
      <c r="AL46" s="244"/>
      <c r="AM46" s="244"/>
      <c r="AN46" s="244"/>
      <c r="AO46" s="254"/>
      <c r="AP46" s="108"/>
      <c r="AQ46" s="216"/>
    </row>
    <row r="47" spans="1:43" s="110" customFormat="1" ht="15" customHeight="1">
      <c r="A47" s="258" t="str">
        <f>IFERROR(VLOOKUP(L47,[3]Page2!$AP$7:$AR$115,2,0),"")</f>
        <v>INCOME PAYMENT MADE BY TOP WITHHOLDING AGENTS TO THEIR LOCAL/RESIDENT SUPPLIER OF SERVICES OTHER THAN THOSE COVERED BY OTHER RATES OF WITHHOLDING TAX</v>
      </c>
      <c r="B47" s="259"/>
      <c r="C47" s="259"/>
      <c r="D47" s="259"/>
      <c r="E47" s="259"/>
      <c r="F47" s="259"/>
      <c r="G47" s="259"/>
      <c r="H47" s="259"/>
      <c r="I47" s="259"/>
      <c r="J47" s="259"/>
      <c r="K47" s="260"/>
      <c r="L47" s="267" t="s">
        <v>35</v>
      </c>
      <c r="M47" s="268"/>
      <c r="N47" s="269"/>
      <c r="O47" s="270"/>
      <c r="P47" s="271"/>
      <c r="Q47" s="271"/>
      <c r="R47" s="271"/>
      <c r="S47" s="272"/>
      <c r="T47" s="270">
        <v>79091.960000000006</v>
      </c>
      <c r="U47" s="271"/>
      <c r="V47" s="271"/>
      <c r="W47" s="271"/>
      <c r="X47" s="272"/>
      <c r="Y47" s="270"/>
      <c r="Z47" s="271"/>
      <c r="AA47" s="271"/>
      <c r="AB47" s="271"/>
      <c r="AC47" s="272"/>
      <c r="AD47" s="270">
        <f>IFERROR(ROUND(SUM(O47:AC47),2),"")</f>
        <v>79091.960000000006</v>
      </c>
      <c r="AE47" s="271"/>
      <c r="AF47" s="271"/>
      <c r="AG47" s="271"/>
      <c r="AH47" s="272"/>
      <c r="AI47" s="270">
        <f>IFERROR(ROUND(AD47*AQ47,2),"")</f>
        <v>1581.84</v>
      </c>
      <c r="AJ47" s="271"/>
      <c r="AK47" s="271"/>
      <c r="AL47" s="271"/>
      <c r="AM47" s="271"/>
      <c r="AN47" s="271"/>
      <c r="AO47" s="273"/>
      <c r="AP47" s="108"/>
      <c r="AQ47" s="155">
        <v>0.02</v>
      </c>
    </row>
    <row r="48" spans="1:43" s="110" customFormat="1" ht="15" customHeight="1">
      <c r="A48" s="261"/>
      <c r="B48" s="262"/>
      <c r="C48" s="262"/>
      <c r="D48" s="262"/>
      <c r="E48" s="262"/>
      <c r="F48" s="262"/>
      <c r="G48" s="262"/>
      <c r="H48" s="262"/>
      <c r="I48" s="262"/>
      <c r="J48" s="262"/>
      <c r="K48" s="263"/>
      <c r="L48" s="274"/>
      <c r="M48" s="275"/>
      <c r="N48" s="276"/>
      <c r="O48" s="270"/>
      <c r="P48" s="271"/>
      <c r="Q48" s="271"/>
      <c r="R48" s="271"/>
      <c r="S48" s="272"/>
      <c r="T48" s="270"/>
      <c r="U48" s="271"/>
      <c r="V48" s="271"/>
      <c r="W48" s="271"/>
      <c r="X48" s="272"/>
      <c r="Y48" s="270"/>
      <c r="Z48" s="271"/>
      <c r="AA48" s="271"/>
      <c r="AB48" s="271"/>
      <c r="AC48" s="272"/>
      <c r="AD48" s="270"/>
      <c r="AE48" s="271"/>
      <c r="AF48" s="271"/>
      <c r="AG48" s="271"/>
      <c r="AH48" s="272"/>
      <c r="AI48" s="270"/>
      <c r="AJ48" s="271"/>
      <c r="AK48" s="271"/>
      <c r="AL48" s="271"/>
      <c r="AM48" s="271"/>
      <c r="AN48" s="271"/>
      <c r="AO48" s="273"/>
      <c r="AP48" s="108"/>
      <c r="AQ48" s="155"/>
    </row>
    <row r="49" spans="1:46" s="110" customFormat="1" ht="15" customHeight="1">
      <c r="A49" s="261"/>
      <c r="B49" s="262"/>
      <c r="C49" s="262"/>
      <c r="D49" s="262"/>
      <c r="E49" s="262"/>
      <c r="F49" s="262"/>
      <c r="G49" s="262"/>
      <c r="H49" s="262"/>
      <c r="I49" s="262"/>
      <c r="J49" s="262"/>
      <c r="K49" s="263"/>
      <c r="L49" s="274"/>
      <c r="M49" s="275"/>
      <c r="N49" s="276"/>
      <c r="O49" s="270"/>
      <c r="P49" s="271"/>
      <c r="Q49" s="271"/>
      <c r="R49" s="271"/>
      <c r="S49" s="272"/>
      <c r="T49" s="270"/>
      <c r="U49" s="271"/>
      <c r="V49" s="271"/>
      <c r="W49" s="271"/>
      <c r="X49" s="272"/>
      <c r="Y49" s="270"/>
      <c r="Z49" s="271"/>
      <c r="AA49" s="271"/>
      <c r="AB49" s="271"/>
      <c r="AC49" s="272"/>
      <c r="AD49" s="270"/>
      <c r="AE49" s="271"/>
      <c r="AF49" s="271"/>
      <c r="AG49" s="271"/>
      <c r="AH49" s="272"/>
      <c r="AI49" s="270"/>
      <c r="AJ49" s="271"/>
      <c r="AK49" s="271"/>
      <c r="AL49" s="271"/>
      <c r="AM49" s="271"/>
      <c r="AN49" s="271"/>
      <c r="AO49" s="273"/>
      <c r="AP49" s="108"/>
      <c r="AQ49" s="155"/>
    </row>
    <row r="50" spans="1:46" s="110" customFormat="1" ht="15" customHeight="1">
      <c r="A50" s="264"/>
      <c r="B50" s="265"/>
      <c r="C50" s="265"/>
      <c r="D50" s="265"/>
      <c r="E50" s="265"/>
      <c r="F50" s="265"/>
      <c r="G50" s="265"/>
      <c r="H50" s="265"/>
      <c r="I50" s="265"/>
      <c r="J50" s="265"/>
      <c r="K50" s="266"/>
      <c r="L50" s="274"/>
      <c r="M50" s="275"/>
      <c r="N50" s="276"/>
      <c r="O50" s="270"/>
      <c r="P50" s="271"/>
      <c r="Q50" s="271"/>
      <c r="R50" s="271"/>
      <c r="S50" s="272"/>
      <c r="T50" s="270"/>
      <c r="U50" s="271"/>
      <c r="V50" s="271"/>
      <c r="W50" s="271"/>
      <c r="X50" s="272"/>
      <c r="Y50" s="270"/>
      <c r="Z50" s="271"/>
      <c r="AA50" s="271"/>
      <c r="AB50" s="271"/>
      <c r="AC50" s="272"/>
      <c r="AD50" s="270"/>
      <c r="AE50" s="271"/>
      <c r="AF50" s="271"/>
      <c r="AG50" s="271"/>
      <c r="AH50" s="272"/>
      <c r="AI50" s="270"/>
      <c r="AJ50" s="271"/>
      <c r="AK50" s="271"/>
      <c r="AL50" s="271"/>
      <c r="AM50" s="271"/>
      <c r="AN50" s="271"/>
      <c r="AO50" s="273"/>
      <c r="AP50" s="108"/>
      <c r="AQ50" s="155"/>
    </row>
    <row r="51" spans="1:46" s="110" customFormat="1" ht="15" customHeight="1">
      <c r="A51" s="156"/>
      <c r="B51" s="157"/>
      <c r="C51" s="157"/>
      <c r="D51" s="157"/>
      <c r="E51" s="157"/>
      <c r="F51" s="157"/>
      <c r="G51" s="157"/>
      <c r="H51" s="157"/>
      <c r="I51" s="157"/>
      <c r="J51" s="157"/>
      <c r="K51" s="158"/>
      <c r="L51" s="274"/>
      <c r="M51" s="275"/>
      <c r="N51" s="276"/>
      <c r="O51" s="270"/>
      <c r="P51" s="271"/>
      <c r="Q51" s="271"/>
      <c r="R51" s="271"/>
      <c r="S51" s="272"/>
      <c r="T51" s="270"/>
      <c r="U51" s="271"/>
      <c r="V51" s="271"/>
      <c r="W51" s="271"/>
      <c r="X51" s="272"/>
      <c r="Y51" s="270"/>
      <c r="Z51" s="271"/>
      <c r="AA51" s="271"/>
      <c r="AB51" s="271"/>
      <c r="AC51" s="272"/>
      <c r="AD51" s="270"/>
      <c r="AE51" s="271"/>
      <c r="AF51" s="271"/>
      <c r="AG51" s="271"/>
      <c r="AH51" s="272"/>
      <c r="AI51" s="270"/>
      <c r="AJ51" s="271"/>
      <c r="AK51" s="271"/>
      <c r="AL51" s="271"/>
      <c r="AM51" s="271"/>
      <c r="AN51" s="271"/>
      <c r="AO51" s="273"/>
      <c r="AP51" s="108"/>
      <c r="AQ51" s="155"/>
    </row>
    <row r="52" spans="1:46" s="110" customFormat="1" ht="15" customHeight="1">
      <c r="A52" s="156"/>
      <c r="B52" s="157"/>
      <c r="C52" s="157"/>
      <c r="D52" s="157"/>
      <c r="E52" s="157"/>
      <c r="F52" s="157"/>
      <c r="G52" s="157"/>
      <c r="H52" s="157"/>
      <c r="I52" s="157"/>
      <c r="J52" s="157"/>
      <c r="K52" s="158"/>
      <c r="L52" s="274"/>
      <c r="M52" s="275"/>
      <c r="N52" s="276"/>
      <c r="O52" s="270"/>
      <c r="P52" s="271"/>
      <c r="Q52" s="271"/>
      <c r="R52" s="271"/>
      <c r="S52" s="272"/>
      <c r="T52" s="270"/>
      <c r="U52" s="271"/>
      <c r="V52" s="271"/>
      <c r="W52" s="271"/>
      <c r="X52" s="272"/>
      <c r="Y52" s="270"/>
      <c r="Z52" s="271"/>
      <c r="AA52" s="271"/>
      <c r="AB52" s="271"/>
      <c r="AC52" s="272"/>
      <c r="AD52" s="270"/>
      <c r="AE52" s="271"/>
      <c r="AF52" s="271"/>
      <c r="AG52" s="271"/>
      <c r="AH52" s="272"/>
      <c r="AI52" s="270"/>
      <c r="AJ52" s="271"/>
      <c r="AK52" s="271"/>
      <c r="AL52" s="271"/>
      <c r="AM52" s="271"/>
      <c r="AN52" s="271"/>
      <c r="AO52" s="273"/>
      <c r="AP52" s="108"/>
      <c r="AQ52" s="155"/>
    </row>
    <row r="53" spans="1:46" s="110" customFormat="1" ht="15" customHeight="1">
      <c r="A53" s="156"/>
      <c r="B53" s="157"/>
      <c r="C53" s="157"/>
      <c r="D53" s="157"/>
      <c r="E53" s="157"/>
      <c r="F53" s="157"/>
      <c r="G53" s="157"/>
      <c r="H53" s="157"/>
      <c r="I53" s="157"/>
      <c r="J53" s="157"/>
      <c r="K53" s="158"/>
      <c r="L53" s="274"/>
      <c r="M53" s="275"/>
      <c r="N53" s="276"/>
      <c r="O53" s="270"/>
      <c r="P53" s="271"/>
      <c r="Q53" s="271"/>
      <c r="R53" s="271"/>
      <c r="S53" s="272"/>
      <c r="T53" s="270"/>
      <c r="U53" s="271"/>
      <c r="V53" s="271"/>
      <c r="W53" s="271"/>
      <c r="X53" s="272"/>
      <c r="Y53" s="270"/>
      <c r="Z53" s="271"/>
      <c r="AA53" s="271"/>
      <c r="AB53" s="271"/>
      <c r="AC53" s="272"/>
      <c r="AD53" s="270"/>
      <c r="AE53" s="271"/>
      <c r="AF53" s="271"/>
      <c r="AG53" s="271"/>
      <c r="AH53" s="272"/>
      <c r="AI53" s="270"/>
      <c r="AJ53" s="271"/>
      <c r="AK53" s="271"/>
      <c r="AL53" s="271"/>
      <c r="AM53" s="271"/>
      <c r="AN53" s="271"/>
      <c r="AO53" s="273"/>
      <c r="AP53" s="108"/>
      <c r="AQ53" s="155"/>
      <c r="AT53" s="110">
        <f>5000-2016</f>
        <v>2984</v>
      </c>
    </row>
    <row r="54" spans="1:46" s="110" customFormat="1" ht="15" customHeight="1">
      <c r="A54" s="156"/>
      <c r="B54" s="157"/>
      <c r="C54" s="157"/>
      <c r="D54" s="159"/>
      <c r="E54" s="159"/>
      <c r="F54" s="157"/>
      <c r="G54" s="157"/>
      <c r="H54" s="157"/>
      <c r="I54" s="157"/>
      <c r="J54" s="157"/>
      <c r="K54" s="158"/>
      <c r="L54" s="274"/>
      <c r="M54" s="275"/>
      <c r="N54" s="276"/>
      <c r="O54" s="270"/>
      <c r="P54" s="271"/>
      <c r="Q54" s="271"/>
      <c r="R54" s="271"/>
      <c r="S54" s="272"/>
      <c r="T54" s="270"/>
      <c r="U54" s="271"/>
      <c r="V54" s="271"/>
      <c r="W54" s="271"/>
      <c r="X54" s="272"/>
      <c r="Y54" s="270"/>
      <c r="Z54" s="271"/>
      <c r="AA54" s="271"/>
      <c r="AB54" s="271"/>
      <c r="AC54" s="272"/>
      <c r="AD54" s="270"/>
      <c r="AE54" s="271"/>
      <c r="AF54" s="271"/>
      <c r="AG54" s="271"/>
      <c r="AH54" s="272"/>
      <c r="AI54" s="270"/>
      <c r="AJ54" s="271"/>
      <c r="AK54" s="271"/>
      <c r="AL54" s="271"/>
      <c r="AM54" s="271"/>
      <c r="AN54" s="271"/>
      <c r="AO54" s="273"/>
      <c r="AP54" s="108"/>
      <c r="AQ54" s="155"/>
    </row>
    <row r="55" spans="1:46" s="110" customFormat="1" ht="15" customHeight="1">
      <c r="A55" s="156"/>
      <c r="B55" s="157"/>
      <c r="C55" s="157"/>
      <c r="D55" s="159"/>
      <c r="E55" s="159"/>
      <c r="F55" s="157"/>
      <c r="G55" s="157"/>
      <c r="H55" s="157"/>
      <c r="I55" s="157"/>
      <c r="J55" s="157"/>
      <c r="K55" s="158"/>
      <c r="L55" s="274"/>
      <c r="M55" s="275"/>
      <c r="N55" s="276"/>
      <c r="O55" s="270"/>
      <c r="P55" s="271"/>
      <c r="Q55" s="271"/>
      <c r="R55" s="271"/>
      <c r="S55" s="272"/>
      <c r="T55" s="270"/>
      <c r="U55" s="271"/>
      <c r="V55" s="271"/>
      <c r="W55" s="271"/>
      <c r="X55" s="272"/>
      <c r="Y55" s="270"/>
      <c r="Z55" s="271"/>
      <c r="AA55" s="271"/>
      <c r="AB55" s="271"/>
      <c r="AC55" s="272"/>
      <c r="AD55" s="270"/>
      <c r="AE55" s="271"/>
      <c r="AF55" s="271"/>
      <c r="AG55" s="271"/>
      <c r="AH55" s="272"/>
      <c r="AI55" s="270"/>
      <c r="AJ55" s="271"/>
      <c r="AK55" s="271"/>
      <c r="AL55" s="271"/>
      <c r="AM55" s="271"/>
      <c r="AN55" s="271"/>
      <c r="AO55" s="273"/>
      <c r="AP55" s="108"/>
      <c r="AQ55" s="155"/>
    </row>
    <row r="56" spans="1:46" s="110" customFormat="1" ht="15" customHeight="1">
      <c r="A56" s="156"/>
      <c r="B56" s="157"/>
      <c r="C56" s="157"/>
      <c r="D56" s="157"/>
      <c r="E56" s="157"/>
      <c r="F56" s="157"/>
      <c r="G56" s="157"/>
      <c r="H56" s="157"/>
      <c r="I56" s="157"/>
      <c r="J56" s="157"/>
      <c r="K56" s="158"/>
      <c r="L56" s="274"/>
      <c r="M56" s="275"/>
      <c r="N56" s="276"/>
      <c r="O56" s="270"/>
      <c r="P56" s="271"/>
      <c r="Q56" s="271"/>
      <c r="R56" s="271"/>
      <c r="S56" s="272"/>
      <c r="T56" s="270"/>
      <c r="U56" s="271"/>
      <c r="V56" s="271"/>
      <c r="W56" s="271"/>
      <c r="X56" s="272"/>
      <c r="Y56" s="270"/>
      <c r="Z56" s="271"/>
      <c r="AA56" s="271"/>
      <c r="AB56" s="271"/>
      <c r="AC56" s="272"/>
      <c r="AD56" s="270"/>
      <c r="AE56" s="271"/>
      <c r="AF56" s="271"/>
      <c r="AG56" s="271"/>
      <c r="AH56" s="272"/>
      <c r="AI56" s="270"/>
      <c r="AJ56" s="271"/>
      <c r="AK56" s="271"/>
      <c r="AL56" s="271"/>
      <c r="AM56" s="271"/>
      <c r="AN56" s="271"/>
      <c r="AO56" s="273"/>
      <c r="AP56" s="108"/>
      <c r="AQ56" s="155"/>
    </row>
    <row r="57" spans="1:46" s="110" customFormat="1" ht="15" customHeight="1">
      <c r="A57" s="156"/>
      <c r="B57" s="159"/>
      <c r="C57" s="159"/>
      <c r="D57" s="159"/>
      <c r="E57" s="159"/>
      <c r="F57" s="159"/>
      <c r="G57" s="159"/>
      <c r="H57" s="159"/>
      <c r="I57" s="159"/>
      <c r="J57" s="159"/>
      <c r="K57" s="160"/>
      <c r="L57" s="274"/>
      <c r="M57" s="275"/>
      <c r="N57" s="276"/>
      <c r="O57" s="270"/>
      <c r="P57" s="271"/>
      <c r="Q57" s="271"/>
      <c r="R57" s="271"/>
      <c r="S57" s="272"/>
      <c r="T57" s="270"/>
      <c r="U57" s="271"/>
      <c r="V57" s="271"/>
      <c r="W57" s="271"/>
      <c r="X57" s="272"/>
      <c r="Y57" s="270"/>
      <c r="Z57" s="271"/>
      <c r="AA57" s="271"/>
      <c r="AB57" s="271"/>
      <c r="AC57" s="272"/>
      <c r="AD57" s="270"/>
      <c r="AE57" s="271"/>
      <c r="AF57" s="271"/>
      <c r="AG57" s="271"/>
      <c r="AH57" s="272"/>
      <c r="AI57" s="270"/>
      <c r="AJ57" s="271"/>
      <c r="AK57" s="271"/>
      <c r="AL57" s="271"/>
      <c r="AM57" s="271"/>
      <c r="AN57" s="271"/>
      <c r="AO57" s="273"/>
      <c r="AP57" s="108"/>
      <c r="AQ57" s="155"/>
    </row>
    <row r="58" spans="1:46" s="110" customFormat="1" ht="15" customHeight="1">
      <c r="A58" s="156"/>
      <c r="B58" s="159"/>
      <c r="C58" s="159"/>
      <c r="D58" s="159"/>
      <c r="E58" s="159"/>
      <c r="F58" s="159"/>
      <c r="G58" s="159"/>
      <c r="H58" s="159"/>
      <c r="I58" s="159"/>
      <c r="J58" s="159"/>
      <c r="K58" s="160"/>
      <c r="L58" s="274"/>
      <c r="M58" s="275"/>
      <c r="N58" s="276"/>
      <c r="O58" s="270"/>
      <c r="P58" s="271"/>
      <c r="Q58" s="271"/>
      <c r="R58" s="271"/>
      <c r="S58" s="272"/>
      <c r="T58" s="270"/>
      <c r="U58" s="271"/>
      <c r="V58" s="271"/>
      <c r="W58" s="271"/>
      <c r="X58" s="272"/>
      <c r="Y58" s="270"/>
      <c r="Z58" s="271"/>
      <c r="AA58" s="271"/>
      <c r="AB58" s="271"/>
      <c r="AC58" s="272"/>
      <c r="AD58" s="270"/>
      <c r="AE58" s="271"/>
      <c r="AF58" s="271"/>
      <c r="AG58" s="271"/>
      <c r="AH58" s="272"/>
      <c r="AI58" s="270"/>
      <c r="AJ58" s="271"/>
      <c r="AK58" s="271"/>
      <c r="AL58" s="271"/>
      <c r="AM58" s="271"/>
      <c r="AN58" s="271"/>
      <c r="AO58" s="273"/>
      <c r="AP58" s="108"/>
      <c r="AQ58" s="155"/>
    </row>
    <row r="59" spans="1:46" s="110" customFormat="1" ht="15" customHeight="1">
      <c r="A59" s="288" t="s">
        <v>33</v>
      </c>
      <c r="B59" s="289"/>
      <c r="C59" s="289"/>
      <c r="D59" s="289"/>
      <c r="E59" s="289"/>
      <c r="F59" s="289"/>
      <c r="G59" s="289"/>
      <c r="H59" s="289"/>
      <c r="I59" s="289"/>
      <c r="J59" s="289"/>
      <c r="K59" s="290"/>
      <c r="L59" s="284"/>
      <c r="M59" s="285"/>
      <c r="N59" s="286"/>
      <c r="O59" s="277">
        <f>SUM(O47:S58)</f>
        <v>0</v>
      </c>
      <c r="P59" s="278"/>
      <c r="Q59" s="278"/>
      <c r="R59" s="278"/>
      <c r="S59" s="291"/>
      <c r="T59" s="277">
        <f>SUM(T47:X58)</f>
        <v>79091.960000000006</v>
      </c>
      <c r="U59" s="278"/>
      <c r="V59" s="278"/>
      <c r="W59" s="278"/>
      <c r="X59" s="291"/>
      <c r="Y59" s="277">
        <f>SUM(Y47:AC58)</f>
        <v>0</v>
      </c>
      <c r="Z59" s="278"/>
      <c r="AA59" s="278"/>
      <c r="AB59" s="278"/>
      <c r="AC59" s="291"/>
      <c r="AD59" s="277">
        <f>SUM(AD47:AH58)</f>
        <v>79091.960000000006</v>
      </c>
      <c r="AE59" s="278"/>
      <c r="AF59" s="278"/>
      <c r="AG59" s="278"/>
      <c r="AH59" s="291"/>
      <c r="AI59" s="277">
        <f>SUM(AI47:AO58)</f>
        <v>1581.84</v>
      </c>
      <c r="AJ59" s="278"/>
      <c r="AK59" s="278"/>
      <c r="AL59" s="278"/>
      <c r="AM59" s="278"/>
      <c r="AN59" s="278"/>
      <c r="AO59" s="279"/>
      <c r="AP59" s="108"/>
      <c r="AQ59" s="161"/>
    </row>
    <row r="60" spans="1:46" s="110" customFormat="1" ht="10.5" customHeight="1">
      <c r="A60" s="280" t="s">
        <v>36</v>
      </c>
      <c r="B60" s="256"/>
      <c r="C60" s="256"/>
      <c r="D60" s="256"/>
      <c r="E60" s="256"/>
      <c r="F60" s="256"/>
      <c r="G60" s="256"/>
      <c r="H60" s="256"/>
      <c r="I60" s="256"/>
      <c r="J60" s="256"/>
      <c r="K60" s="257"/>
      <c r="L60" s="137"/>
      <c r="M60" s="138"/>
      <c r="N60" s="139"/>
      <c r="O60" s="137"/>
      <c r="P60" s="138"/>
      <c r="Q60" s="138"/>
      <c r="R60" s="138"/>
      <c r="S60" s="139"/>
      <c r="T60" s="137"/>
      <c r="U60" s="138"/>
      <c r="V60" s="138"/>
      <c r="W60" s="138"/>
      <c r="X60" s="139"/>
      <c r="Y60" s="137"/>
      <c r="Z60" s="138"/>
      <c r="AA60" s="138"/>
      <c r="AB60" s="138"/>
      <c r="AC60" s="139"/>
      <c r="AD60" s="137"/>
      <c r="AE60" s="138"/>
      <c r="AF60" s="138"/>
      <c r="AG60" s="138"/>
      <c r="AH60" s="139"/>
      <c r="AI60" s="137"/>
      <c r="AJ60" s="138"/>
      <c r="AK60" s="138"/>
      <c r="AL60" s="138"/>
      <c r="AM60" s="138"/>
      <c r="AN60" s="138"/>
      <c r="AO60" s="162"/>
      <c r="AP60" s="108"/>
      <c r="AQ60" s="109"/>
    </row>
    <row r="61" spans="1:46" s="110" customFormat="1" ht="10.5" customHeight="1">
      <c r="A61" s="243"/>
      <c r="B61" s="244"/>
      <c r="C61" s="244"/>
      <c r="D61" s="244"/>
      <c r="E61" s="244"/>
      <c r="F61" s="244"/>
      <c r="G61" s="244"/>
      <c r="H61" s="244"/>
      <c r="I61" s="244"/>
      <c r="J61" s="244"/>
      <c r="K61" s="245"/>
      <c r="L61" s="163"/>
      <c r="M61" s="151"/>
      <c r="N61" s="164"/>
      <c r="O61" s="163"/>
      <c r="P61" s="151"/>
      <c r="Q61" s="151"/>
      <c r="R61" s="151"/>
      <c r="S61" s="164"/>
      <c r="T61" s="163"/>
      <c r="U61" s="151"/>
      <c r="V61" s="151"/>
      <c r="W61" s="151"/>
      <c r="X61" s="164"/>
      <c r="Y61" s="163"/>
      <c r="Z61" s="151"/>
      <c r="AA61" s="151"/>
      <c r="AB61" s="151"/>
      <c r="AC61" s="164"/>
      <c r="AD61" s="163"/>
      <c r="AE61" s="151"/>
      <c r="AF61" s="151"/>
      <c r="AG61" s="151"/>
      <c r="AH61" s="164"/>
      <c r="AI61" s="163"/>
      <c r="AJ61" s="151"/>
      <c r="AK61" s="151"/>
      <c r="AL61" s="151"/>
      <c r="AM61" s="151"/>
      <c r="AN61" s="151"/>
      <c r="AO61" s="152"/>
      <c r="AP61" s="108"/>
      <c r="AQ61" s="109"/>
    </row>
    <row r="62" spans="1:46" s="110" customFormat="1" ht="15" customHeight="1">
      <c r="A62" s="281"/>
      <c r="B62" s="282"/>
      <c r="C62" s="282"/>
      <c r="D62" s="282"/>
      <c r="E62" s="282"/>
      <c r="F62" s="282"/>
      <c r="G62" s="282"/>
      <c r="H62" s="282"/>
      <c r="I62" s="282"/>
      <c r="J62" s="282"/>
      <c r="K62" s="283"/>
      <c r="L62" s="284"/>
      <c r="M62" s="285"/>
      <c r="N62" s="286"/>
      <c r="O62" s="284"/>
      <c r="P62" s="285"/>
      <c r="Q62" s="285"/>
      <c r="R62" s="285"/>
      <c r="S62" s="286"/>
      <c r="T62" s="284"/>
      <c r="U62" s="285"/>
      <c r="V62" s="285"/>
      <c r="W62" s="285"/>
      <c r="X62" s="286"/>
      <c r="Y62" s="284"/>
      <c r="Z62" s="285"/>
      <c r="AA62" s="285"/>
      <c r="AB62" s="285"/>
      <c r="AC62" s="286"/>
      <c r="AD62" s="284"/>
      <c r="AE62" s="285"/>
      <c r="AF62" s="285"/>
      <c r="AG62" s="285"/>
      <c r="AH62" s="286"/>
      <c r="AI62" s="284"/>
      <c r="AJ62" s="285"/>
      <c r="AK62" s="285"/>
      <c r="AL62" s="285"/>
      <c r="AM62" s="285"/>
      <c r="AN62" s="285"/>
      <c r="AO62" s="287"/>
      <c r="AP62" s="108"/>
      <c r="AQ62" s="109"/>
    </row>
    <row r="63" spans="1:46" s="110" customFormat="1" ht="15" customHeight="1">
      <c r="A63" s="281"/>
      <c r="B63" s="282"/>
      <c r="C63" s="282"/>
      <c r="D63" s="282"/>
      <c r="E63" s="282"/>
      <c r="F63" s="282"/>
      <c r="G63" s="282"/>
      <c r="H63" s="282"/>
      <c r="I63" s="282"/>
      <c r="J63" s="282"/>
      <c r="K63" s="283"/>
      <c r="L63" s="284"/>
      <c r="M63" s="285"/>
      <c r="N63" s="286"/>
      <c r="O63" s="284"/>
      <c r="P63" s="285"/>
      <c r="Q63" s="285"/>
      <c r="R63" s="285"/>
      <c r="S63" s="286"/>
      <c r="T63" s="284"/>
      <c r="U63" s="285"/>
      <c r="V63" s="285"/>
      <c r="W63" s="285"/>
      <c r="X63" s="286"/>
      <c r="Y63" s="284"/>
      <c r="Z63" s="285"/>
      <c r="AA63" s="285"/>
      <c r="AB63" s="285"/>
      <c r="AC63" s="286"/>
      <c r="AD63" s="284"/>
      <c r="AE63" s="285"/>
      <c r="AF63" s="285"/>
      <c r="AG63" s="285"/>
      <c r="AH63" s="286"/>
      <c r="AI63" s="284"/>
      <c r="AJ63" s="285"/>
      <c r="AK63" s="285"/>
      <c r="AL63" s="285"/>
      <c r="AM63" s="285"/>
      <c r="AN63" s="285"/>
      <c r="AO63" s="287"/>
      <c r="AP63" s="108"/>
      <c r="AQ63" s="109"/>
    </row>
    <row r="64" spans="1:46" s="110" customFormat="1" ht="15" customHeight="1">
      <c r="A64" s="281"/>
      <c r="B64" s="282"/>
      <c r="C64" s="282"/>
      <c r="D64" s="282"/>
      <c r="E64" s="282"/>
      <c r="F64" s="282"/>
      <c r="G64" s="282"/>
      <c r="H64" s="282"/>
      <c r="I64" s="282"/>
      <c r="J64" s="282"/>
      <c r="K64" s="283"/>
      <c r="L64" s="284"/>
      <c r="M64" s="285"/>
      <c r="N64" s="286"/>
      <c r="O64" s="284"/>
      <c r="P64" s="285"/>
      <c r="Q64" s="285"/>
      <c r="R64" s="285"/>
      <c r="S64" s="286"/>
      <c r="T64" s="284"/>
      <c r="U64" s="285"/>
      <c r="V64" s="285"/>
      <c r="W64" s="285"/>
      <c r="X64" s="286"/>
      <c r="Y64" s="284"/>
      <c r="Z64" s="285"/>
      <c r="AA64" s="285"/>
      <c r="AB64" s="285"/>
      <c r="AC64" s="286"/>
      <c r="AD64" s="284"/>
      <c r="AE64" s="285"/>
      <c r="AF64" s="285"/>
      <c r="AG64" s="285"/>
      <c r="AH64" s="286"/>
      <c r="AI64" s="284"/>
      <c r="AJ64" s="285"/>
      <c r="AK64" s="285"/>
      <c r="AL64" s="285"/>
      <c r="AM64" s="285"/>
      <c r="AN64" s="285"/>
      <c r="AO64" s="287"/>
      <c r="AP64" s="108"/>
      <c r="AQ64" s="109"/>
    </row>
    <row r="65" spans="1:43" s="110" customFormat="1" ht="15" customHeight="1">
      <c r="A65" s="288" t="s">
        <v>33</v>
      </c>
      <c r="B65" s="289"/>
      <c r="C65" s="289"/>
      <c r="D65" s="289"/>
      <c r="E65" s="289"/>
      <c r="F65" s="289"/>
      <c r="G65" s="289"/>
      <c r="H65" s="289"/>
      <c r="I65" s="289"/>
      <c r="J65" s="289"/>
      <c r="K65" s="290"/>
      <c r="L65" s="284"/>
      <c r="M65" s="285"/>
      <c r="N65" s="286"/>
      <c r="O65" s="284"/>
      <c r="P65" s="285"/>
      <c r="Q65" s="285"/>
      <c r="R65" s="285"/>
      <c r="S65" s="286"/>
      <c r="T65" s="284"/>
      <c r="U65" s="285"/>
      <c r="V65" s="285"/>
      <c r="W65" s="285"/>
      <c r="X65" s="286"/>
      <c r="Y65" s="284"/>
      <c r="Z65" s="285"/>
      <c r="AA65" s="285"/>
      <c r="AB65" s="285"/>
      <c r="AC65" s="286"/>
      <c r="AD65" s="284"/>
      <c r="AE65" s="285"/>
      <c r="AF65" s="285"/>
      <c r="AG65" s="285"/>
      <c r="AH65" s="286"/>
      <c r="AI65" s="284"/>
      <c r="AJ65" s="285"/>
      <c r="AK65" s="285"/>
      <c r="AL65" s="285"/>
      <c r="AM65" s="285"/>
      <c r="AN65" s="285"/>
      <c r="AO65" s="287"/>
      <c r="AP65" s="108"/>
      <c r="AQ65" s="109"/>
    </row>
    <row r="66" spans="1:43" s="110" customFormat="1" ht="40.5" customHeight="1">
      <c r="A66" s="292" t="s">
        <v>37</v>
      </c>
      <c r="B66" s="293"/>
      <c r="C66" s="293"/>
      <c r="D66" s="293"/>
      <c r="E66" s="293"/>
      <c r="F66" s="293"/>
      <c r="G66" s="293"/>
      <c r="H66" s="293"/>
      <c r="I66" s="293"/>
      <c r="J66" s="293"/>
      <c r="K66" s="293"/>
      <c r="L66" s="293"/>
      <c r="M66" s="293"/>
      <c r="N66" s="293"/>
      <c r="O66" s="293"/>
      <c r="P66" s="293"/>
      <c r="Q66" s="293"/>
      <c r="R66" s="293"/>
      <c r="S66" s="293"/>
      <c r="T66" s="293"/>
      <c r="U66" s="293"/>
      <c r="V66" s="293"/>
      <c r="W66" s="293"/>
      <c r="X66" s="293"/>
      <c r="Y66" s="293"/>
      <c r="Z66" s="293"/>
      <c r="AA66" s="293"/>
      <c r="AB66" s="293"/>
      <c r="AC66" s="293"/>
      <c r="AD66" s="293"/>
      <c r="AE66" s="293"/>
      <c r="AF66" s="293"/>
      <c r="AG66" s="293"/>
      <c r="AH66" s="293"/>
      <c r="AI66" s="293"/>
      <c r="AJ66" s="293"/>
      <c r="AK66" s="293"/>
      <c r="AL66" s="293"/>
      <c r="AM66" s="293"/>
      <c r="AN66" s="293"/>
      <c r="AO66" s="294"/>
      <c r="AP66" s="108"/>
      <c r="AQ66" s="109"/>
    </row>
    <row r="67" spans="1:43" s="110" customFormat="1" ht="10.5" customHeight="1">
      <c r="A67" s="295" t="s">
        <v>38</v>
      </c>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7"/>
      <c r="AP67" s="108"/>
      <c r="AQ67" s="109"/>
    </row>
    <row r="68" spans="1:43" s="110" customFormat="1" ht="10.5" customHeight="1">
      <c r="A68" s="298"/>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300"/>
      <c r="AP68" s="108"/>
      <c r="AQ68" s="109"/>
    </row>
    <row r="69" spans="1:43" s="110" customFormat="1" ht="10.5" customHeight="1">
      <c r="A69" s="301"/>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3"/>
      <c r="AP69" s="108"/>
      <c r="AQ69" s="109"/>
    </row>
    <row r="70" spans="1:43" s="110" customFormat="1" ht="10.5" customHeight="1">
      <c r="A70" s="304" t="s">
        <v>39</v>
      </c>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c r="AD70" s="305"/>
      <c r="AE70" s="305"/>
      <c r="AF70" s="305"/>
      <c r="AG70" s="305"/>
      <c r="AH70" s="305"/>
      <c r="AI70" s="305"/>
      <c r="AJ70" s="305"/>
      <c r="AK70" s="305"/>
      <c r="AL70" s="305"/>
      <c r="AM70" s="305"/>
      <c r="AN70" s="305"/>
      <c r="AO70" s="306"/>
      <c r="AP70" s="108"/>
      <c r="AQ70" s="109"/>
    </row>
    <row r="71" spans="1:43" s="110" customFormat="1" ht="10.5" customHeight="1">
      <c r="A71" s="307" t="s">
        <v>40</v>
      </c>
      <c r="B71" s="308"/>
      <c r="C71" s="308"/>
      <c r="D71" s="308"/>
      <c r="E71" s="308"/>
      <c r="F71" s="308"/>
      <c r="G71" s="308"/>
      <c r="H71" s="308"/>
      <c r="I71" s="308"/>
      <c r="J71" s="308"/>
      <c r="K71" s="308"/>
      <c r="L71" s="308"/>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9"/>
      <c r="AP71" s="108"/>
      <c r="AQ71" s="109"/>
    </row>
    <row r="72" spans="1:43" s="110" customFormat="1" ht="11.25" customHeight="1">
      <c r="A72" s="310" t="s">
        <v>41</v>
      </c>
      <c r="B72" s="311"/>
      <c r="C72" s="311"/>
      <c r="D72" s="311"/>
      <c r="E72" s="311"/>
      <c r="F72" s="311"/>
      <c r="G72" s="311"/>
      <c r="H72" s="311"/>
      <c r="I72" s="138"/>
      <c r="J72" s="138"/>
      <c r="K72" s="138"/>
      <c r="L72" s="138"/>
      <c r="M72" s="138"/>
      <c r="N72" s="138"/>
      <c r="O72" s="138"/>
      <c r="P72" s="138"/>
      <c r="Q72" s="165"/>
      <c r="R72" s="312" t="s">
        <v>42</v>
      </c>
      <c r="S72" s="312"/>
      <c r="T72" s="312"/>
      <c r="U72" s="312"/>
      <c r="V72" s="138"/>
      <c r="W72" s="138"/>
      <c r="X72" s="138"/>
      <c r="Y72" s="138"/>
      <c r="Z72" s="138"/>
      <c r="AA72" s="138"/>
      <c r="AB72" s="138"/>
      <c r="AC72" s="314" t="s">
        <v>43</v>
      </c>
      <c r="AD72" s="314"/>
      <c r="AE72" s="314"/>
      <c r="AF72" s="314"/>
      <c r="AG72" s="314"/>
      <c r="AH72" s="138"/>
      <c r="AI72" s="138"/>
      <c r="AJ72" s="138"/>
      <c r="AK72" s="138"/>
      <c r="AL72" s="138"/>
      <c r="AM72" s="138"/>
      <c r="AN72" s="138"/>
      <c r="AO72" s="162"/>
      <c r="AP72" s="108"/>
      <c r="AQ72" s="109"/>
    </row>
    <row r="73" spans="1:43" s="110" customFormat="1" ht="11.25" customHeight="1" thickBot="1">
      <c r="A73" s="315" t="s">
        <v>44</v>
      </c>
      <c r="B73" s="316"/>
      <c r="C73" s="316"/>
      <c r="D73" s="316"/>
      <c r="E73" s="316"/>
      <c r="F73" s="316"/>
      <c r="G73" s="316"/>
      <c r="H73" s="316"/>
      <c r="I73" s="108"/>
      <c r="J73" s="108"/>
      <c r="K73" s="108"/>
      <c r="L73" s="108"/>
      <c r="M73" s="108"/>
      <c r="N73" s="108"/>
      <c r="O73" s="108"/>
      <c r="P73" s="108"/>
      <c r="Q73" s="108"/>
      <c r="R73" s="313"/>
      <c r="S73" s="313"/>
      <c r="T73" s="313"/>
      <c r="U73" s="313"/>
      <c r="V73" s="108"/>
      <c r="W73" s="108"/>
      <c r="X73" s="108"/>
      <c r="Y73" s="108"/>
      <c r="Z73" s="108"/>
      <c r="AA73" s="108"/>
      <c r="AB73" s="108"/>
      <c r="AC73" s="317" t="s">
        <v>7</v>
      </c>
      <c r="AD73" s="317"/>
      <c r="AE73" s="317"/>
      <c r="AF73" s="317"/>
      <c r="AG73" s="317"/>
      <c r="AH73" s="108"/>
      <c r="AI73" s="108"/>
      <c r="AJ73" s="108"/>
      <c r="AK73" s="108"/>
      <c r="AL73" s="108"/>
      <c r="AM73" s="108"/>
      <c r="AN73" s="108"/>
      <c r="AO73" s="132"/>
      <c r="AP73" s="108"/>
      <c r="AQ73" s="109"/>
    </row>
    <row r="74" spans="1:43" s="110" customFormat="1" ht="10.5" customHeight="1" thickBot="1">
      <c r="A74" s="209" t="s">
        <v>45</v>
      </c>
      <c r="B74" s="210"/>
      <c r="C74" s="210"/>
      <c r="D74" s="210"/>
      <c r="E74" s="210"/>
      <c r="F74" s="210"/>
      <c r="G74" s="210"/>
      <c r="H74" s="210"/>
      <c r="I74" s="210"/>
      <c r="J74" s="210"/>
      <c r="K74" s="210"/>
      <c r="L74" s="210"/>
      <c r="M74" s="210"/>
      <c r="N74" s="210"/>
      <c r="O74" s="210"/>
      <c r="P74" s="210"/>
      <c r="Q74" s="210"/>
      <c r="R74" s="210"/>
      <c r="S74" s="210"/>
      <c r="T74" s="210"/>
      <c r="U74" s="210"/>
      <c r="V74" s="210"/>
      <c r="W74" s="210"/>
      <c r="X74" s="210"/>
      <c r="Y74" s="210"/>
      <c r="Z74" s="210"/>
      <c r="AA74" s="210"/>
      <c r="AB74" s="210"/>
      <c r="AC74" s="210"/>
      <c r="AD74" s="210"/>
      <c r="AE74" s="210"/>
      <c r="AF74" s="210"/>
      <c r="AG74" s="210"/>
      <c r="AH74" s="210"/>
      <c r="AI74" s="210"/>
      <c r="AJ74" s="210"/>
      <c r="AK74" s="210"/>
      <c r="AL74" s="210"/>
      <c r="AM74" s="210"/>
      <c r="AN74" s="210"/>
      <c r="AO74" s="211"/>
      <c r="AP74" s="108"/>
      <c r="AQ74" s="109"/>
    </row>
    <row r="75" spans="1:43" s="110" customFormat="1" ht="10.5" customHeight="1">
      <c r="A75" s="304"/>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c r="AD75" s="305"/>
      <c r="AE75" s="305"/>
      <c r="AF75" s="305"/>
      <c r="AG75" s="305"/>
      <c r="AH75" s="305"/>
      <c r="AI75" s="305"/>
      <c r="AJ75" s="305"/>
      <c r="AK75" s="305"/>
      <c r="AL75" s="305"/>
      <c r="AM75" s="305"/>
      <c r="AN75" s="305"/>
      <c r="AO75" s="306"/>
      <c r="AP75" s="108"/>
      <c r="AQ75" s="109"/>
    </row>
    <row r="76" spans="1:43" s="110" customFormat="1" ht="10.5" customHeight="1">
      <c r="A76" s="318"/>
      <c r="B76" s="319"/>
      <c r="C76" s="319"/>
      <c r="D76" s="319"/>
      <c r="E76" s="319"/>
      <c r="F76" s="319"/>
      <c r="G76" s="319"/>
      <c r="H76" s="319"/>
      <c r="I76" s="319"/>
      <c r="J76" s="319"/>
      <c r="K76" s="319"/>
      <c r="L76" s="319"/>
      <c r="M76" s="319"/>
      <c r="N76" s="319"/>
      <c r="O76" s="319"/>
      <c r="P76" s="319"/>
      <c r="Q76" s="319"/>
      <c r="R76" s="319"/>
      <c r="S76" s="319"/>
      <c r="T76" s="319"/>
      <c r="U76" s="319"/>
      <c r="V76" s="319"/>
      <c r="W76" s="319"/>
      <c r="X76" s="319"/>
      <c r="Y76" s="319"/>
      <c r="Z76" s="319"/>
      <c r="AA76" s="319"/>
      <c r="AB76" s="319"/>
      <c r="AC76" s="319"/>
      <c r="AD76" s="319"/>
      <c r="AE76" s="319"/>
      <c r="AF76" s="319"/>
      <c r="AG76" s="319"/>
      <c r="AH76" s="319"/>
      <c r="AI76" s="319"/>
      <c r="AJ76" s="319"/>
      <c r="AK76" s="319"/>
      <c r="AL76" s="319"/>
      <c r="AM76" s="319"/>
      <c r="AN76" s="319"/>
      <c r="AO76" s="320"/>
      <c r="AP76" s="108"/>
      <c r="AQ76" s="109"/>
    </row>
    <row r="77" spans="1:43" s="110" customFormat="1" ht="10.5" customHeight="1">
      <c r="A77" s="321"/>
      <c r="B77" s="322"/>
      <c r="C77" s="322"/>
      <c r="D77" s="322"/>
      <c r="E77" s="322"/>
      <c r="F77" s="322"/>
      <c r="G77" s="322"/>
      <c r="H77" s="322"/>
      <c r="I77" s="322"/>
      <c r="J77" s="322"/>
      <c r="K77" s="322"/>
      <c r="L77" s="322"/>
      <c r="M77" s="322"/>
      <c r="N77" s="322"/>
      <c r="O77" s="322"/>
      <c r="P77" s="322"/>
      <c r="Q77" s="322"/>
      <c r="R77" s="322"/>
      <c r="S77" s="322"/>
      <c r="T77" s="322"/>
      <c r="U77" s="322"/>
      <c r="V77" s="322"/>
      <c r="W77" s="322"/>
      <c r="X77" s="322"/>
      <c r="Y77" s="322"/>
      <c r="Z77" s="322"/>
      <c r="AA77" s="322"/>
      <c r="AB77" s="322"/>
      <c r="AC77" s="322"/>
      <c r="AD77" s="322"/>
      <c r="AE77" s="322"/>
      <c r="AF77" s="322"/>
      <c r="AG77" s="322"/>
      <c r="AH77" s="322"/>
      <c r="AI77" s="322"/>
      <c r="AJ77" s="322"/>
      <c r="AK77" s="322"/>
      <c r="AL77" s="322"/>
      <c r="AM77" s="322"/>
      <c r="AN77" s="322"/>
      <c r="AO77" s="323"/>
      <c r="AP77" s="108"/>
      <c r="AQ77" s="109"/>
    </row>
    <row r="78" spans="1:43" s="110" customFormat="1" ht="10.5" customHeight="1">
      <c r="A78" s="304" t="s">
        <v>46</v>
      </c>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c r="AD78" s="305"/>
      <c r="AE78" s="305"/>
      <c r="AF78" s="305"/>
      <c r="AG78" s="305"/>
      <c r="AH78" s="305"/>
      <c r="AI78" s="305"/>
      <c r="AJ78" s="305"/>
      <c r="AK78" s="305"/>
      <c r="AL78" s="305"/>
      <c r="AM78" s="305"/>
      <c r="AN78" s="305"/>
      <c r="AO78" s="306"/>
      <c r="AP78" s="108"/>
      <c r="AQ78" s="109"/>
    </row>
    <row r="79" spans="1:43" s="110" customFormat="1" ht="10.5" customHeight="1">
      <c r="A79" s="307" t="s">
        <v>40</v>
      </c>
      <c r="B79" s="308"/>
      <c r="C79" s="308"/>
      <c r="D79" s="308"/>
      <c r="E79" s="308"/>
      <c r="F79" s="308"/>
      <c r="G79" s="308"/>
      <c r="H79" s="308"/>
      <c r="I79" s="308"/>
      <c r="J79" s="308"/>
      <c r="K79" s="308"/>
      <c r="L79" s="308"/>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9"/>
      <c r="AP79" s="108"/>
      <c r="AQ79" s="109"/>
    </row>
    <row r="80" spans="1:43" s="110" customFormat="1" ht="11.25" customHeight="1">
      <c r="A80" s="310" t="s">
        <v>41</v>
      </c>
      <c r="B80" s="311"/>
      <c r="C80" s="311"/>
      <c r="D80" s="311"/>
      <c r="E80" s="311"/>
      <c r="F80" s="311"/>
      <c r="G80" s="311"/>
      <c r="H80" s="311"/>
      <c r="I80" s="138"/>
      <c r="J80" s="138"/>
      <c r="K80" s="138"/>
      <c r="L80" s="138"/>
      <c r="M80" s="138"/>
      <c r="N80" s="138"/>
      <c r="O80" s="138"/>
      <c r="P80" s="138"/>
      <c r="Q80" s="165"/>
      <c r="R80" s="312" t="s">
        <v>42</v>
      </c>
      <c r="S80" s="312"/>
      <c r="T80" s="312"/>
      <c r="U80" s="312"/>
      <c r="V80" s="138"/>
      <c r="W80" s="138"/>
      <c r="X80" s="138"/>
      <c r="Y80" s="138"/>
      <c r="Z80" s="138"/>
      <c r="AA80" s="138"/>
      <c r="AB80" s="138"/>
      <c r="AC80" s="314" t="s">
        <v>43</v>
      </c>
      <c r="AD80" s="314"/>
      <c r="AE80" s="314"/>
      <c r="AF80" s="314"/>
      <c r="AG80" s="314"/>
      <c r="AH80" s="138"/>
      <c r="AI80" s="138"/>
      <c r="AJ80" s="138"/>
      <c r="AK80" s="138"/>
      <c r="AL80" s="138"/>
      <c r="AM80" s="138"/>
      <c r="AN80" s="138"/>
      <c r="AO80" s="162"/>
      <c r="AP80" s="108"/>
      <c r="AQ80" s="109"/>
    </row>
    <row r="81" spans="1:43" s="110" customFormat="1" ht="11.25" customHeight="1" thickBot="1">
      <c r="A81" s="325" t="s">
        <v>44</v>
      </c>
      <c r="B81" s="326"/>
      <c r="C81" s="326"/>
      <c r="D81" s="326"/>
      <c r="E81" s="326"/>
      <c r="F81" s="326"/>
      <c r="G81" s="326"/>
      <c r="H81" s="326"/>
      <c r="I81" s="129"/>
      <c r="J81" s="129"/>
      <c r="K81" s="129"/>
      <c r="L81" s="129"/>
      <c r="M81" s="129"/>
      <c r="N81" s="129"/>
      <c r="O81" s="129"/>
      <c r="P81" s="129"/>
      <c r="Q81" s="129"/>
      <c r="R81" s="324"/>
      <c r="S81" s="324"/>
      <c r="T81" s="324"/>
      <c r="U81" s="324"/>
      <c r="V81" s="129"/>
      <c r="W81" s="129"/>
      <c r="X81" s="129"/>
      <c r="Y81" s="129"/>
      <c r="Z81" s="129"/>
      <c r="AA81" s="129"/>
      <c r="AB81" s="129"/>
      <c r="AC81" s="327" t="s">
        <v>7</v>
      </c>
      <c r="AD81" s="327"/>
      <c r="AE81" s="327"/>
      <c r="AF81" s="327"/>
      <c r="AG81" s="327"/>
      <c r="AH81" s="129"/>
      <c r="AI81" s="129"/>
      <c r="AJ81" s="129"/>
      <c r="AK81" s="129"/>
      <c r="AL81" s="129"/>
      <c r="AM81" s="129"/>
      <c r="AN81" s="129"/>
      <c r="AO81" s="166"/>
      <c r="AP81" s="108"/>
      <c r="AQ81" s="109"/>
    </row>
    <row r="82" spans="1:43" s="110" customFormat="1" ht="11.25" customHeight="1">
      <c r="A82" s="108" t="s">
        <v>47</v>
      </c>
      <c r="B82" s="167"/>
      <c r="C82" s="167"/>
      <c r="D82" s="167"/>
      <c r="E82" s="167"/>
      <c r="F82" s="167"/>
      <c r="G82" s="167"/>
      <c r="H82" s="167"/>
      <c r="I82" s="167"/>
      <c r="J82" s="167"/>
      <c r="K82" s="167"/>
      <c r="L82" s="167"/>
      <c r="M82" s="167"/>
      <c r="N82" s="167"/>
      <c r="O82" s="167"/>
      <c r="P82" s="167"/>
      <c r="Q82" s="167"/>
      <c r="R82" s="167"/>
      <c r="S82" s="167"/>
      <c r="T82" s="167"/>
      <c r="U82" s="167"/>
      <c r="V82" s="167"/>
      <c r="W82" s="167"/>
      <c r="X82" s="167"/>
      <c r="Y82" s="108"/>
      <c r="Z82" s="167"/>
      <c r="AA82" s="167"/>
      <c r="AB82" s="167"/>
      <c r="AC82" s="167"/>
      <c r="AD82" s="167"/>
      <c r="AE82" s="167"/>
      <c r="AF82" s="167"/>
      <c r="AG82" s="167"/>
      <c r="AH82" s="167"/>
      <c r="AI82" s="167"/>
      <c r="AJ82" s="167"/>
      <c r="AK82" s="167"/>
      <c r="AL82" s="167"/>
      <c r="AM82" s="167"/>
      <c r="AN82" s="167"/>
      <c r="AO82" s="167"/>
      <c r="AP82" s="108"/>
      <c r="AQ82" s="109"/>
    </row>
    <row r="83" spans="1:43" s="110" customFormat="1" ht="11.25" customHeight="1">
      <c r="A83" s="108"/>
      <c r="B83" s="167"/>
      <c r="C83" s="167"/>
      <c r="D83" s="167"/>
      <c r="E83" s="167"/>
      <c r="F83" s="167"/>
      <c r="G83" s="167"/>
      <c r="H83" s="167"/>
      <c r="I83" s="167"/>
      <c r="J83" s="167"/>
      <c r="K83" s="167"/>
      <c r="L83" s="167"/>
      <c r="M83" s="167"/>
      <c r="N83" s="167"/>
      <c r="O83" s="167"/>
      <c r="P83" s="167"/>
      <c r="Q83" s="167"/>
      <c r="R83" s="167"/>
      <c r="S83" s="167"/>
      <c r="T83" s="167"/>
      <c r="U83" s="167"/>
      <c r="V83" s="167"/>
      <c r="W83" s="167"/>
      <c r="X83" s="167"/>
      <c r="Y83" s="108"/>
      <c r="Z83" s="167"/>
      <c r="AA83" s="167"/>
      <c r="AB83" s="167"/>
      <c r="AC83" s="167"/>
      <c r="AD83" s="167"/>
      <c r="AE83" s="167"/>
      <c r="AF83" s="167"/>
      <c r="AG83" s="167"/>
      <c r="AH83" s="167"/>
      <c r="AI83" s="167"/>
      <c r="AJ83" s="167"/>
      <c r="AK83" s="167"/>
      <c r="AL83" s="167"/>
      <c r="AM83" s="167"/>
      <c r="AN83" s="167"/>
      <c r="AO83" s="167"/>
      <c r="AP83" s="108"/>
      <c r="AQ83" s="109"/>
    </row>
    <row r="84" spans="1:43" s="110" customFormat="1" ht="11.25" customHeight="1">
      <c r="A84" s="108"/>
      <c r="B84" s="108"/>
      <c r="C84" s="108"/>
      <c r="D84" s="108"/>
      <c r="E84" s="108"/>
      <c r="F84" s="108"/>
      <c r="G84" s="108"/>
      <c r="H84" s="108"/>
      <c r="I84" s="108"/>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9"/>
    </row>
    <row r="85" spans="1:43" s="110" customFormat="1" ht="11.25" customHeight="1">
      <c r="A85" s="108"/>
      <c r="B85" s="108"/>
      <c r="C85" s="108"/>
      <c r="D85" s="108"/>
      <c r="E85" s="108"/>
      <c r="F85" s="108"/>
      <c r="G85" s="108"/>
      <c r="H85" s="108"/>
      <c r="I85" s="108"/>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9"/>
    </row>
    <row r="86" spans="1:43" s="110" customFormat="1" ht="11.25" customHeight="1">
      <c r="A86" s="108"/>
      <c r="B86" s="108"/>
      <c r="C86" s="108"/>
      <c r="D86" s="108"/>
      <c r="E86" s="108"/>
      <c r="F86" s="108"/>
      <c r="G86" s="108"/>
      <c r="H86" s="108"/>
      <c r="I86" s="108"/>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9"/>
    </row>
    <row r="87" spans="1:43" s="110" customFormat="1" ht="11.25" customHeight="1">
      <c r="A87" s="108"/>
      <c r="B87" s="108"/>
      <c r="C87" s="108"/>
      <c r="D87" s="108"/>
      <c r="E87" s="108"/>
      <c r="F87" s="108"/>
      <c r="G87" s="108"/>
      <c r="H87" s="108"/>
      <c r="I87" s="108"/>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c r="AJ87" s="108"/>
      <c r="AK87" s="108"/>
      <c r="AL87" s="108"/>
      <c r="AM87" s="108"/>
      <c r="AN87" s="108"/>
      <c r="AO87" s="108"/>
      <c r="AP87" s="108"/>
      <c r="AQ87" s="109"/>
    </row>
    <row r="88" spans="1:43" s="110" customFormat="1" ht="11.25" customHeight="1">
      <c r="A88" s="108"/>
      <c r="B88" s="108"/>
      <c r="C88" s="108"/>
      <c r="D88" s="108"/>
      <c r="E88" s="108"/>
      <c r="F88" s="108"/>
      <c r="G88" s="108"/>
      <c r="H88" s="108"/>
      <c r="I88" s="108"/>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c r="AJ88" s="108"/>
      <c r="AK88" s="108"/>
      <c r="AL88" s="108"/>
      <c r="AM88" s="108"/>
      <c r="AN88" s="108"/>
      <c r="AO88" s="108"/>
      <c r="AP88" s="108"/>
      <c r="AQ88" s="109"/>
    </row>
    <row r="89" spans="1:43" s="110" customFormat="1" ht="11.25" customHeight="1">
      <c r="A89" s="108"/>
      <c r="B89" s="108"/>
      <c r="C89" s="108"/>
      <c r="D89" s="108"/>
      <c r="E89" s="108"/>
      <c r="F89" s="108"/>
      <c r="G89" s="108"/>
      <c r="H89" s="108"/>
      <c r="I89" s="108"/>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c r="AJ89" s="108"/>
      <c r="AK89" s="108"/>
      <c r="AL89" s="108"/>
      <c r="AM89" s="108"/>
      <c r="AN89" s="108"/>
      <c r="AO89" s="108"/>
      <c r="AP89" s="108"/>
      <c r="AQ89" s="109"/>
    </row>
    <row r="90" spans="1:43" s="110" customFormat="1" ht="11.25" customHeight="1">
      <c r="A90" s="108"/>
      <c r="B90" s="108"/>
      <c r="C90" s="108"/>
      <c r="D90" s="108"/>
      <c r="E90" s="108"/>
      <c r="F90" s="108"/>
      <c r="G90" s="108"/>
      <c r="H90" s="108"/>
      <c r="I90" s="108"/>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08"/>
      <c r="AQ90" s="109"/>
    </row>
    <row r="91" spans="1:43" s="110" customFormat="1" ht="11.25" customHeight="1">
      <c r="A91" s="108"/>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108"/>
      <c r="AQ91" s="109"/>
    </row>
    <row r="92" spans="1:43" s="110" customFormat="1" ht="11.25" customHeight="1">
      <c r="A92" s="108"/>
      <c r="B92" s="108"/>
      <c r="C92" s="108"/>
      <c r="D92" s="108"/>
      <c r="E92" s="108"/>
      <c r="F92" s="108"/>
      <c r="G92" s="108"/>
      <c r="H92" s="108"/>
      <c r="I92" s="108"/>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c r="AJ92" s="108"/>
      <c r="AK92" s="108"/>
      <c r="AL92" s="108"/>
      <c r="AM92" s="108"/>
      <c r="AN92" s="108"/>
      <c r="AO92" s="108"/>
      <c r="AP92" s="108"/>
      <c r="AQ92" s="109"/>
    </row>
    <row r="93" spans="1:43" s="110" customFormat="1" ht="11.25" customHeight="1">
      <c r="A93" s="108"/>
      <c r="B93" s="108"/>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108"/>
      <c r="AQ93" s="109"/>
    </row>
    <row r="94" spans="1:43" s="110" customFormat="1" ht="11.25" customHeight="1">
      <c r="A94" s="108"/>
      <c r="B94" s="108"/>
      <c r="C94" s="108"/>
      <c r="D94" s="108"/>
      <c r="E94" s="108"/>
      <c r="F94" s="108"/>
      <c r="G94" s="108"/>
      <c r="H94" s="108"/>
      <c r="I94" s="108"/>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108"/>
      <c r="AH94" s="108"/>
      <c r="AI94" s="108"/>
      <c r="AJ94" s="108"/>
      <c r="AK94" s="108"/>
      <c r="AL94" s="108"/>
      <c r="AM94" s="108"/>
      <c r="AN94" s="108"/>
      <c r="AO94" s="108"/>
      <c r="AP94" s="108"/>
      <c r="AQ94" s="109"/>
    </row>
    <row r="95" spans="1:43" s="110" customFormat="1" ht="11.25" customHeight="1">
      <c r="A95" s="108"/>
      <c r="B95" s="108"/>
      <c r="C95" s="108"/>
      <c r="D95" s="108"/>
      <c r="E95" s="108"/>
      <c r="F95" s="108"/>
      <c r="G95" s="108"/>
      <c r="H95" s="108"/>
      <c r="I95" s="108"/>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108"/>
      <c r="AH95" s="108"/>
      <c r="AI95" s="108"/>
      <c r="AJ95" s="108"/>
      <c r="AK95" s="108"/>
      <c r="AL95" s="108"/>
      <c r="AM95" s="108"/>
      <c r="AN95" s="108"/>
      <c r="AO95" s="108"/>
      <c r="AP95" s="108"/>
      <c r="AQ95" s="109"/>
    </row>
    <row r="96" spans="1:43" s="110" customFormat="1" ht="11.25" customHeight="1">
      <c r="A96" s="108"/>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9"/>
    </row>
    <row r="97" spans="1:43" s="110" customFormat="1" ht="11.25" customHeight="1">
      <c r="A97" s="108"/>
      <c r="B97" s="108"/>
      <c r="C97" s="108"/>
      <c r="D97" s="108"/>
      <c r="E97" s="108"/>
      <c r="F97" s="108"/>
      <c r="G97" s="108"/>
      <c r="H97" s="108"/>
      <c r="I97" s="108"/>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9"/>
    </row>
    <row r="98" spans="1:43" s="110" customFormat="1" ht="11.25" customHeight="1">
      <c r="A98" s="108"/>
      <c r="B98" s="108"/>
      <c r="C98" s="108"/>
      <c r="D98" s="108"/>
      <c r="E98" s="108"/>
      <c r="F98" s="108"/>
      <c r="G98" s="108"/>
      <c r="H98" s="108"/>
      <c r="I98" s="108"/>
      <c r="J98" s="108"/>
      <c r="K98" s="108"/>
      <c r="L98" s="108"/>
      <c r="M98" s="108"/>
      <c r="N98" s="108"/>
      <c r="O98" s="108"/>
      <c r="P98" s="108"/>
      <c r="Q98" s="108"/>
      <c r="R98" s="108"/>
      <c r="S98" s="108"/>
      <c r="T98" s="108"/>
      <c r="U98" s="108"/>
      <c r="V98" s="108"/>
      <c r="W98" s="108"/>
      <c r="X98" s="108"/>
      <c r="Y98" s="108"/>
      <c r="Z98" s="108"/>
      <c r="AA98" s="108"/>
      <c r="AB98" s="108"/>
      <c r="AC98" s="108"/>
      <c r="AD98" s="108"/>
      <c r="AE98" s="108"/>
      <c r="AF98" s="108"/>
      <c r="AG98" s="108"/>
      <c r="AH98" s="108"/>
      <c r="AI98" s="108"/>
      <c r="AJ98" s="108"/>
      <c r="AK98" s="108"/>
      <c r="AL98" s="108"/>
      <c r="AM98" s="108"/>
      <c r="AN98" s="108"/>
      <c r="AO98" s="108"/>
      <c r="AP98" s="108"/>
      <c r="AQ98" s="109"/>
    </row>
    <row r="99" spans="1:43" s="110" customFormat="1" ht="11.25" customHeight="1">
      <c r="A99" s="108"/>
      <c r="B99" s="108"/>
      <c r="C99" s="108"/>
      <c r="D99" s="108"/>
      <c r="E99" s="108"/>
      <c r="F99" s="108"/>
      <c r="G99" s="108"/>
      <c r="H99" s="108"/>
      <c r="I99" s="108"/>
      <c r="J99" s="108"/>
      <c r="K99" s="108"/>
      <c r="L99" s="108"/>
      <c r="M99" s="108"/>
      <c r="N99" s="108"/>
      <c r="O99" s="108"/>
      <c r="P99" s="108"/>
      <c r="Q99" s="108"/>
      <c r="R99" s="108"/>
      <c r="S99" s="108"/>
      <c r="T99" s="108"/>
      <c r="U99" s="108"/>
      <c r="V99" s="108"/>
      <c r="W99" s="108"/>
      <c r="X99" s="108"/>
      <c r="Y99" s="108"/>
      <c r="Z99" s="108"/>
      <c r="AA99" s="108"/>
      <c r="AB99" s="108"/>
      <c r="AC99" s="108"/>
      <c r="AD99" s="108"/>
      <c r="AE99" s="108"/>
      <c r="AF99" s="108"/>
      <c r="AG99" s="108"/>
      <c r="AH99" s="108"/>
      <c r="AI99" s="108"/>
      <c r="AJ99" s="108"/>
      <c r="AK99" s="108"/>
      <c r="AL99" s="108"/>
      <c r="AM99" s="108"/>
      <c r="AN99" s="108"/>
      <c r="AO99" s="108"/>
      <c r="AP99" s="108"/>
      <c r="AQ99" s="109"/>
    </row>
    <row r="100" spans="1:43" s="110" customFormat="1" ht="11.25" customHeight="1">
      <c r="A100" s="108"/>
      <c r="B100" s="108"/>
      <c r="C100" s="108"/>
      <c r="D100" s="108"/>
      <c r="E100" s="108"/>
      <c r="F100" s="108"/>
      <c r="G100" s="108"/>
      <c r="H100" s="108"/>
      <c r="I100" s="108"/>
      <c r="J100" s="108"/>
      <c r="K100" s="108"/>
      <c r="L100" s="108"/>
      <c r="M100" s="108"/>
      <c r="N100" s="108"/>
      <c r="O100" s="108"/>
      <c r="P100" s="108"/>
      <c r="Q100" s="108"/>
      <c r="R100" s="108"/>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8"/>
      <c r="AO100" s="108"/>
      <c r="AP100" s="108"/>
      <c r="AQ100" s="109"/>
    </row>
    <row r="101" spans="1:43" s="110" customFormat="1" ht="11.25" customHeight="1">
      <c r="A101" s="108"/>
      <c r="B101" s="108"/>
      <c r="C101" s="108"/>
      <c r="D101" s="108"/>
      <c r="E101" s="108"/>
      <c r="F101" s="108"/>
      <c r="G101" s="108"/>
      <c r="H101" s="108"/>
      <c r="I101" s="108"/>
      <c r="J101" s="108"/>
      <c r="K101" s="108"/>
      <c r="L101" s="108"/>
      <c r="M101" s="108"/>
      <c r="N101" s="108"/>
      <c r="O101" s="108"/>
      <c r="P101" s="108"/>
      <c r="Q101" s="108"/>
      <c r="R101" s="108"/>
      <c r="S101" s="108"/>
      <c r="T101" s="108"/>
      <c r="U101" s="108"/>
      <c r="V101" s="108"/>
      <c r="W101" s="108"/>
      <c r="X101" s="108"/>
      <c r="Y101" s="108"/>
      <c r="Z101" s="108"/>
      <c r="AA101" s="108"/>
      <c r="AB101" s="108"/>
      <c r="AC101" s="108"/>
      <c r="AD101" s="108"/>
      <c r="AE101" s="108"/>
      <c r="AF101" s="108"/>
      <c r="AG101" s="108"/>
      <c r="AH101" s="108"/>
      <c r="AI101" s="108"/>
      <c r="AJ101" s="108"/>
      <c r="AK101" s="108"/>
      <c r="AL101" s="108"/>
      <c r="AM101" s="108"/>
      <c r="AN101" s="108"/>
      <c r="AO101" s="108"/>
      <c r="AP101" s="108"/>
      <c r="AQ101" s="109"/>
    </row>
    <row r="102" spans="1:43" s="110" customFormat="1" ht="11.25" customHeight="1">
      <c r="A102" s="108"/>
      <c r="B102" s="108"/>
      <c r="C102" s="108"/>
      <c r="D102" s="108"/>
      <c r="E102" s="108"/>
      <c r="F102" s="108"/>
      <c r="G102" s="108"/>
      <c r="H102" s="108"/>
      <c r="I102" s="108"/>
      <c r="J102" s="108"/>
      <c r="K102" s="108"/>
      <c r="L102" s="108"/>
      <c r="M102" s="108"/>
      <c r="N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9"/>
    </row>
    <row r="103" spans="1:43" s="110" customFormat="1" ht="11.25" customHeight="1">
      <c r="A103" s="108"/>
      <c r="B103" s="108"/>
      <c r="C103" s="108"/>
      <c r="D103" s="108"/>
      <c r="E103" s="108"/>
      <c r="F103" s="108"/>
      <c r="G103" s="108"/>
      <c r="H103" s="108"/>
      <c r="I103" s="108"/>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9"/>
    </row>
    <row r="104" spans="1:43" s="110" customFormat="1" ht="11.25" customHeight="1">
      <c r="A104" s="108"/>
      <c r="B104" s="108"/>
      <c r="C104" s="108"/>
      <c r="D104" s="108"/>
      <c r="E104" s="108"/>
      <c r="F104" s="108"/>
      <c r="G104" s="108"/>
      <c r="H104" s="108"/>
      <c r="I104" s="108"/>
      <c r="J104" s="108"/>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9"/>
    </row>
    <row r="105" spans="1:43" s="110" customFormat="1" ht="11.25" customHeight="1">
      <c r="A105" s="108"/>
      <c r="B105" s="108"/>
      <c r="C105" s="108"/>
      <c r="D105" s="108"/>
      <c r="E105" s="108"/>
      <c r="F105" s="108"/>
      <c r="G105" s="108"/>
      <c r="H105" s="108"/>
      <c r="I105" s="108"/>
      <c r="J105" s="108"/>
      <c r="K105" s="108"/>
      <c r="L105" s="108"/>
      <c r="M105" s="108"/>
      <c r="N105" s="108"/>
      <c r="O105" s="108"/>
      <c r="P105" s="108"/>
      <c r="Q105" s="108"/>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108"/>
      <c r="AM105" s="108"/>
      <c r="AN105" s="108"/>
      <c r="AO105" s="108"/>
      <c r="AP105" s="108"/>
      <c r="AQ105" s="109"/>
    </row>
    <row r="106" spans="1:43" s="110" customFormat="1" ht="13.5" customHeight="1">
      <c r="A106" s="108"/>
      <c r="B106" s="108"/>
      <c r="C106" s="108"/>
      <c r="D106" s="108"/>
      <c r="E106" s="108"/>
      <c r="F106" s="108"/>
      <c r="G106" s="108"/>
      <c r="H106" s="108"/>
      <c r="I106" s="108"/>
      <c r="J106" s="108"/>
      <c r="K106" s="108"/>
      <c r="L106" s="108"/>
      <c r="M106" s="108"/>
      <c r="N106" s="108"/>
      <c r="O106" s="108"/>
      <c r="P106" s="108"/>
      <c r="Q106" s="108"/>
      <c r="R106" s="108"/>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8"/>
      <c r="AO106" s="108"/>
      <c r="AP106" s="108"/>
      <c r="AQ106" s="109"/>
    </row>
    <row r="107" spans="1:43" s="110" customFormat="1" ht="13.5" customHeight="1">
      <c r="A107" s="108"/>
      <c r="B107" s="108"/>
      <c r="C107" s="108"/>
      <c r="D107" s="108"/>
      <c r="E107" s="108"/>
      <c r="F107" s="108"/>
      <c r="G107" s="108"/>
      <c r="H107" s="108"/>
      <c r="I107" s="108"/>
      <c r="J107" s="108"/>
      <c r="K107" s="108"/>
      <c r="L107" s="108"/>
      <c r="M107" s="108"/>
      <c r="N107" s="108"/>
      <c r="O107" s="108"/>
      <c r="P107" s="108"/>
      <c r="Q107" s="108"/>
      <c r="R107" s="108"/>
      <c r="S107" s="108"/>
      <c r="T107" s="108"/>
      <c r="U107" s="108"/>
      <c r="V107" s="108"/>
      <c r="W107" s="108"/>
      <c r="X107" s="108"/>
      <c r="Y107" s="108"/>
      <c r="Z107" s="108"/>
      <c r="AA107" s="108"/>
      <c r="AB107" s="108"/>
      <c r="AC107" s="108"/>
      <c r="AD107" s="108"/>
      <c r="AE107" s="108"/>
      <c r="AF107" s="108"/>
      <c r="AG107" s="108"/>
      <c r="AH107" s="108"/>
      <c r="AI107" s="108"/>
      <c r="AJ107" s="108"/>
      <c r="AK107" s="108"/>
      <c r="AL107" s="108"/>
      <c r="AM107" s="108"/>
      <c r="AN107" s="108"/>
      <c r="AO107" s="108"/>
      <c r="AP107" s="108"/>
      <c r="AQ107" s="109"/>
    </row>
    <row r="108" spans="1:43" s="110" customFormat="1" ht="13.5" customHeight="1">
      <c r="A108" s="108"/>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9"/>
    </row>
    <row r="109" spans="1:43" s="110" customFormat="1" ht="13.5" customHeight="1">
      <c r="A109" s="108"/>
      <c r="B109" s="108"/>
      <c r="C109" s="108"/>
      <c r="D109" s="108"/>
      <c r="E109" s="108"/>
      <c r="F109" s="108"/>
      <c r="G109" s="108"/>
      <c r="H109" s="108"/>
      <c r="I109" s="108"/>
      <c r="J109" s="108"/>
      <c r="K109" s="108"/>
      <c r="L109" s="108"/>
      <c r="M109" s="108"/>
      <c r="N109" s="108"/>
      <c r="O109" s="108"/>
      <c r="P109" s="108"/>
      <c r="Q109" s="108"/>
      <c r="R109" s="108"/>
      <c r="S109" s="108"/>
      <c r="T109" s="108"/>
      <c r="U109" s="108"/>
      <c r="V109" s="108"/>
      <c r="W109" s="108"/>
      <c r="X109" s="108"/>
      <c r="Y109" s="108"/>
      <c r="Z109" s="108"/>
      <c r="AA109" s="108"/>
      <c r="AB109" s="108"/>
      <c r="AC109" s="108"/>
      <c r="AD109" s="108"/>
      <c r="AE109" s="108"/>
      <c r="AF109" s="108"/>
      <c r="AG109" s="108"/>
      <c r="AH109" s="108"/>
      <c r="AI109" s="108"/>
      <c r="AJ109" s="108"/>
      <c r="AK109" s="108"/>
      <c r="AL109" s="108"/>
      <c r="AM109" s="108"/>
      <c r="AN109" s="108"/>
      <c r="AO109" s="108"/>
      <c r="AP109" s="108"/>
      <c r="AQ109" s="109"/>
    </row>
    <row r="110" spans="1:43" s="110" customFormat="1" ht="13.5" customHeight="1">
      <c r="A110" s="108"/>
      <c r="B110" s="108"/>
      <c r="C110" s="108"/>
      <c r="D110" s="108"/>
      <c r="E110" s="108"/>
      <c r="F110" s="108"/>
      <c r="G110" s="108"/>
      <c r="H110" s="108"/>
      <c r="I110" s="108"/>
      <c r="J110" s="108"/>
      <c r="K110" s="108"/>
      <c r="L110" s="108"/>
      <c r="M110" s="108"/>
      <c r="N110" s="108"/>
      <c r="O110" s="108"/>
      <c r="P110" s="108"/>
      <c r="Q110" s="108"/>
      <c r="R110" s="108"/>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8"/>
      <c r="AO110" s="108"/>
      <c r="AP110" s="108"/>
      <c r="AQ110" s="109"/>
    </row>
    <row r="111" spans="1:43" s="110" customFormat="1" ht="13.5" customHeight="1">
      <c r="A111" s="108"/>
      <c r="B111" s="108"/>
      <c r="C111" s="108"/>
      <c r="D111" s="108"/>
      <c r="E111" s="108"/>
      <c r="F111" s="108"/>
      <c r="G111" s="108"/>
      <c r="H111" s="108"/>
      <c r="I111" s="108"/>
      <c r="J111" s="108"/>
      <c r="K111" s="108"/>
      <c r="L111" s="108"/>
      <c r="M111" s="108"/>
      <c r="N111" s="108"/>
      <c r="O111" s="108"/>
      <c r="P111" s="108"/>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9"/>
    </row>
  </sheetData>
  <autoFilter ref="A1:AW226" xr:uid="{6B14D0D3-FA14-40ED-BF5F-CB1E46C5729E}"/>
  <mergeCells count="171">
    <mergeCell ref="A74:AO74"/>
    <mergeCell ref="A75:AO77"/>
    <mergeCell ref="A78:AO78"/>
    <mergeCell ref="A79:AO79"/>
    <mergeCell ref="A80:H80"/>
    <mergeCell ref="R80:U81"/>
    <mergeCell ref="AC80:AG80"/>
    <mergeCell ref="A81:H81"/>
    <mergeCell ref="AC81:AG81"/>
    <mergeCell ref="AI65:AO65"/>
    <mergeCell ref="A66:AO66"/>
    <mergeCell ref="A67:AO69"/>
    <mergeCell ref="A70:AO70"/>
    <mergeCell ref="A71:AO71"/>
    <mergeCell ref="A72:H72"/>
    <mergeCell ref="R72:U73"/>
    <mergeCell ref="AC72:AG72"/>
    <mergeCell ref="A73:H73"/>
    <mergeCell ref="AC73:AG73"/>
    <mergeCell ref="A65:K65"/>
    <mergeCell ref="L65:N65"/>
    <mergeCell ref="O65:S65"/>
    <mergeCell ref="T65:X65"/>
    <mergeCell ref="Y65:AC65"/>
    <mergeCell ref="AD65:AH65"/>
    <mergeCell ref="AI63:AO63"/>
    <mergeCell ref="A64:K64"/>
    <mergeCell ref="L64:N64"/>
    <mergeCell ref="O64:S64"/>
    <mergeCell ref="T64:X64"/>
    <mergeCell ref="Y64:AC64"/>
    <mergeCell ref="AD64:AH64"/>
    <mergeCell ref="AI64:AO64"/>
    <mergeCell ref="A63:K63"/>
    <mergeCell ref="L63:N63"/>
    <mergeCell ref="O63:S63"/>
    <mergeCell ref="T63:X63"/>
    <mergeCell ref="Y63:AC63"/>
    <mergeCell ref="AD63:AH63"/>
    <mergeCell ref="AI59:AO59"/>
    <mergeCell ref="A60:K61"/>
    <mergeCell ref="A62:K62"/>
    <mergeCell ref="L62:N62"/>
    <mergeCell ref="O62:S62"/>
    <mergeCell ref="T62:X62"/>
    <mergeCell ref="Y62:AC62"/>
    <mergeCell ref="AD62:AH62"/>
    <mergeCell ref="AI62:AO62"/>
    <mergeCell ref="A59:K59"/>
    <mergeCell ref="L59:N59"/>
    <mergeCell ref="O59:S59"/>
    <mergeCell ref="T59:X59"/>
    <mergeCell ref="Y59:AC59"/>
    <mergeCell ref="AD59:AH59"/>
    <mergeCell ref="L58:N58"/>
    <mergeCell ref="O58:S58"/>
    <mergeCell ref="T58:X58"/>
    <mergeCell ref="Y58:AC58"/>
    <mergeCell ref="AD58:AH58"/>
    <mergeCell ref="AI58:AO58"/>
    <mergeCell ref="L57:N57"/>
    <mergeCell ref="O57:S57"/>
    <mergeCell ref="T57:X57"/>
    <mergeCell ref="Y57:AC57"/>
    <mergeCell ref="AD57:AH57"/>
    <mergeCell ref="AI57:AO57"/>
    <mergeCell ref="L56:N56"/>
    <mergeCell ref="O56:S56"/>
    <mergeCell ref="T56:X56"/>
    <mergeCell ref="Y56:AC56"/>
    <mergeCell ref="AD56:AH56"/>
    <mergeCell ref="AI56:AO56"/>
    <mergeCell ref="L55:N55"/>
    <mergeCell ref="O55:S55"/>
    <mergeCell ref="T55:X55"/>
    <mergeCell ref="Y55:AC55"/>
    <mergeCell ref="AD55:AH55"/>
    <mergeCell ref="AI55:AO55"/>
    <mergeCell ref="L54:N54"/>
    <mergeCell ref="O54:S54"/>
    <mergeCell ref="T54:X54"/>
    <mergeCell ref="Y54:AC54"/>
    <mergeCell ref="AD54:AH54"/>
    <mergeCell ref="AI54:AO54"/>
    <mergeCell ref="L53:N53"/>
    <mergeCell ref="O53:S53"/>
    <mergeCell ref="T53:X53"/>
    <mergeCell ref="Y53:AC53"/>
    <mergeCell ref="AD53:AH53"/>
    <mergeCell ref="AI53:AO53"/>
    <mergeCell ref="AD49:AH49"/>
    <mergeCell ref="AI49:AO49"/>
    <mergeCell ref="L52:N52"/>
    <mergeCell ref="O52:S52"/>
    <mergeCell ref="T52:X52"/>
    <mergeCell ref="Y52:AC52"/>
    <mergeCell ref="AD52:AH52"/>
    <mergeCell ref="AI52:AO52"/>
    <mergeCell ref="L51:N51"/>
    <mergeCell ref="O51:S51"/>
    <mergeCell ref="T51:X51"/>
    <mergeCell ref="Y51:AC51"/>
    <mergeCell ref="AD51:AH51"/>
    <mergeCell ref="AI51:AO51"/>
    <mergeCell ref="AQ45:AQ46"/>
    <mergeCell ref="A47:K50"/>
    <mergeCell ref="L47:N47"/>
    <mergeCell ref="O47:S47"/>
    <mergeCell ref="T47:X47"/>
    <mergeCell ref="Y47:AC47"/>
    <mergeCell ref="AD47:AH47"/>
    <mergeCell ref="AI47:AO47"/>
    <mergeCell ref="L48:N48"/>
    <mergeCell ref="O48:S48"/>
    <mergeCell ref="L50:N50"/>
    <mergeCell ref="O50:S50"/>
    <mergeCell ref="T50:X50"/>
    <mergeCell ref="Y50:AC50"/>
    <mergeCell ref="AD50:AH50"/>
    <mergeCell ref="AI50:AO50"/>
    <mergeCell ref="T48:X48"/>
    <mergeCell ref="Y48:AC48"/>
    <mergeCell ref="AD48:AH48"/>
    <mergeCell ref="AI48:AO48"/>
    <mergeCell ref="L49:N49"/>
    <mergeCell ref="O49:S49"/>
    <mergeCell ref="T49:X49"/>
    <mergeCell ref="Y49:AC49"/>
    <mergeCell ref="A43:AO43"/>
    <mergeCell ref="A44:K46"/>
    <mergeCell ref="L44:N46"/>
    <mergeCell ref="O44:AH44"/>
    <mergeCell ref="AI44:AO46"/>
    <mergeCell ref="O45:S46"/>
    <mergeCell ref="T45:X46"/>
    <mergeCell ref="Y45:AC46"/>
    <mergeCell ref="AD45:AH46"/>
    <mergeCell ref="A30:AO30"/>
    <mergeCell ref="A31:A33"/>
    <mergeCell ref="B31:M33"/>
    <mergeCell ref="B35:AN36"/>
    <mergeCell ref="B39:AI41"/>
    <mergeCell ref="AK40:AK41"/>
    <mergeCell ref="AL40:AL41"/>
    <mergeCell ref="AM40:AM41"/>
    <mergeCell ref="AN40:AN41"/>
    <mergeCell ref="B23:AI25"/>
    <mergeCell ref="AQ23:AU25"/>
    <mergeCell ref="AK24:AK25"/>
    <mergeCell ref="AL24:AL25"/>
    <mergeCell ref="AM24:AM25"/>
    <mergeCell ref="AN24:AN25"/>
    <mergeCell ref="A14:AO14"/>
    <mergeCell ref="A15:A17"/>
    <mergeCell ref="B15:M17"/>
    <mergeCell ref="AQ15:AQ17"/>
    <mergeCell ref="AR16:AR17"/>
    <mergeCell ref="B19:AN20"/>
    <mergeCell ref="AQ19:AT20"/>
    <mergeCell ref="A11:A13"/>
    <mergeCell ref="B11:E13"/>
    <mergeCell ref="H11:I13"/>
    <mergeCell ref="R11:U13"/>
    <mergeCell ref="Y11:Z13"/>
    <mergeCell ref="AI11:AO13"/>
    <mergeCell ref="H2:AG2"/>
    <mergeCell ref="AH2:AO2"/>
    <mergeCell ref="H3:AG3"/>
    <mergeCell ref="AH3:AO3"/>
    <mergeCell ref="H4:AG4"/>
    <mergeCell ref="L5:AB9"/>
  </mergeCells>
  <dataValidations count="1">
    <dataValidation type="list" allowBlank="1" showInputMessage="1" showErrorMessage="1" sqref="AQ15" xr:uid="{382D4C05-69A9-4EF3-883A-18CC2C68D06E}">
      <formula1>#REF!</formula1>
    </dataValidation>
  </dataValidations>
  <printOptions horizontalCentered="1"/>
  <pageMargins left="0.25" right="0" top="0.25" bottom="0" header="0.3" footer="0.3"/>
  <pageSetup paperSize="9" scale="96"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AU107"/>
  <sheetViews>
    <sheetView view="pageBreakPreview" zoomScale="145" zoomScaleNormal="145" zoomScaleSheetLayoutView="145" workbookViewId="0">
      <selection activeCell="A38" sqref="A38:K41"/>
    </sheetView>
  </sheetViews>
  <sheetFormatPr defaultColWidth="9.109375" defaultRowHeight="12"/>
  <cols>
    <col min="1" max="19" width="2.6640625" style="1" customWidth="1"/>
    <col min="20" max="20" width="3.109375" style="1" customWidth="1"/>
    <col min="21" max="41" width="2.6640625" style="1" customWidth="1"/>
    <col min="42" max="42" width="10.6640625" style="98" customWidth="1"/>
    <col min="43" max="43" width="15.6640625" style="98" customWidth="1"/>
    <col min="44" max="44" width="60.6640625" style="99" customWidth="1"/>
    <col min="45" max="45" width="15.6640625" style="101" customWidth="1"/>
    <col min="46" max="47" width="15.6640625" style="99" customWidth="1"/>
    <col min="48" max="49" width="15.6640625" style="1" customWidth="1"/>
    <col min="50" max="16384" width="9.109375" style="1"/>
  </cols>
  <sheetData>
    <row r="1" spans="1:45" ht="6" customHeight="1"/>
    <row r="2" spans="1:45" ht="11.25" customHeight="1">
      <c r="A2" s="96"/>
      <c r="B2" s="96"/>
      <c r="C2" s="96"/>
      <c r="D2" s="96"/>
      <c r="E2" s="96"/>
      <c r="F2" s="96"/>
      <c r="G2" s="96"/>
      <c r="H2" s="341" t="s">
        <v>0</v>
      </c>
      <c r="I2" s="341"/>
      <c r="J2" s="341"/>
      <c r="K2" s="341"/>
      <c r="L2" s="341"/>
      <c r="M2" s="341"/>
      <c r="N2" s="341"/>
      <c r="O2" s="341"/>
      <c r="P2" s="341"/>
      <c r="Q2" s="341"/>
      <c r="R2" s="341"/>
      <c r="S2" s="341"/>
      <c r="T2" s="341"/>
      <c r="U2" s="341"/>
      <c r="V2" s="341"/>
      <c r="W2" s="341"/>
      <c r="X2" s="341"/>
      <c r="Y2" s="341"/>
      <c r="Z2" s="341"/>
      <c r="AA2" s="341"/>
      <c r="AB2" s="341"/>
      <c r="AC2" s="341"/>
      <c r="AD2" s="341"/>
      <c r="AE2" s="341"/>
      <c r="AF2" s="341"/>
      <c r="AG2" s="341"/>
      <c r="AH2" s="343">
        <f ca="1">TODAY()</f>
        <v>46205</v>
      </c>
      <c r="AI2" s="343"/>
      <c r="AJ2" s="343"/>
      <c r="AK2" s="343"/>
      <c r="AL2" s="343"/>
      <c r="AM2" s="343"/>
      <c r="AN2" s="343"/>
      <c r="AP2" s="100" t="s">
        <v>48</v>
      </c>
      <c r="AQ2" s="102" t="s">
        <v>27</v>
      </c>
      <c r="AR2" s="103" t="s">
        <v>49</v>
      </c>
      <c r="AS2" s="103" t="s">
        <v>50</v>
      </c>
    </row>
    <row r="3" spans="1:45" ht="11.25" customHeight="1">
      <c r="A3" s="96"/>
      <c r="B3" s="96"/>
      <c r="C3" s="96"/>
      <c r="D3" s="96"/>
      <c r="E3" s="96"/>
      <c r="F3" s="96"/>
      <c r="G3" s="96"/>
      <c r="H3" s="341" t="s">
        <v>1</v>
      </c>
      <c r="I3" s="341"/>
      <c r="J3" s="341"/>
      <c r="K3" s="341"/>
      <c r="L3" s="341"/>
      <c r="M3" s="341"/>
      <c r="N3" s="341"/>
      <c r="O3" s="341"/>
      <c r="P3" s="341"/>
      <c r="Q3" s="341"/>
      <c r="R3" s="341"/>
      <c r="S3" s="341"/>
      <c r="T3" s="341"/>
      <c r="U3" s="341"/>
      <c r="V3" s="341"/>
      <c r="W3" s="341"/>
      <c r="X3" s="341"/>
      <c r="Y3" s="341"/>
      <c r="Z3" s="341"/>
      <c r="AA3" s="341"/>
      <c r="AB3" s="341"/>
      <c r="AC3" s="341"/>
      <c r="AD3" s="341"/>
      <c r="AE3" s="341"/>
      <c r="AF3" s="341"/>
      <c r="AG3" s="341"/>
      <c r="AH3" s="344"/>
      <c r="AI3" s="344"/>
      <c r="AJ3" s="344"/>
      <c r="AK3" s="344"/>
      <c r="AL3" s="344"/>
      <c r="AM3" s="344"/>
      <c r="AN3" s="344"/>
      <c r="AP3" s="107" t="s">
        <v>51</v>
      </c>
      <c r="AQ3" s="98" t="s">
        <v>52</v>
      </c>
      <c r="AR3" s="104" t="s">
        <v>53</v>
      </c>
      <c r="AS3" s="101">
        <v>0.1</v>
      </c>
    </row>
    <row r="4" spans="1:45" ht="13.5" customHeight="1" thickBot="1">
      <c r="A4" s="97"/>
      <c r="B4" s="97"/>
      <c r="C4" s="97"/>
      <c r="D4" s="97"/>
      <c r="E4" s="97"/>
      <c r="F4" s="97"/>
      <c r="G4" s="97"/>
      <c r="H4" s="342" t="s">
        <v>2</v>
      </c>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97"/>
      <c r="AI4" s="97"/>
      <c r="AJ4" s="97"/>
      <c r="AK4" s="97"/>
      <c r="AL4" s="97"/>
      <c r="AM4" s="97"/>
      <c r="AN4" s="97"/>
      <c r="AQ4" s="98" t="s">
        <v>54</v>
      </c>
      <c r="AR4" s="104" t="s">
        <v>55</v>
      </c>
      <c r="AS4" s="101">
        <v>0.15</v>
      </c>
    </row>
    <row r="5" spans="1:45" ht="9.75" customHeight="1">
      <c r="A5" s="2"/>
      <c r="B5" s="3"/>
      <c r="C5" s="3"/>
      <c r="D5" s="3"/>
      <c r="E5" s="3"/>
      <c r="F5" s="3"/>
      <c r="G5" s="4"/>
      <c r="H5" s="3"/>
      <c r="I5" s="3"/>
      <c r="J5" s="3"/>
      <c r="K5" s="3"/>
      <c r="L5" s="328" t="s">
        <v>3</v>
      </c>
      <c r="M5" s="328"/>
      <c r="N5" s="328"/>
      <c r="O5" s="328"/>
      <c r="P5" s="328"/>
      <c r="Q5" s="328"/>
      <c r="R5" s="328"/>
      <c r="S5" s="328"/>
      <c r="T5" s="328"/>
      <c r="U5" s="328"/>
      <c r="V5" s="328"/>
      <c r="W5" s="328"/>
      <c r="X5" s="328"/>
      <c r="Y5" s="328"/>
      <c r="Z5" s="328"/>
      <c r="AA5" s="328"/>
      <c r="AB5" s="328"/>
      <c r="AC5" s="3"/>
      <c r="AD5" s="5"/>
      <c r="AE5" s="3"/>
      <c r="AF5" s="3"/>
      <c r="AG5" s="3"/>
      <c r="AH5" s="3"/>
      <c r="AI5" s="3"/>
      <c r="AJ5" s="3"/>
      <c r="AK5" s="3"/>
      <c r="AL5" s="3"/>
      <c r="AM5" s="3"/>
      <c r="AN5" s="6"/>
      <c r="AQ5" s="98" t="s">
        <v>56</v>
      </c>
      <c r="AR5" s="99" t="s">
        <v>57</v>
      </c>
      <c r="AS5" s="101">
        <v>0.1</v>
      </c>
    </row>
    <row r="6" spans="1:45" ht="9.75" customHeight="1">
      <c r="A6" s="7"/>
      <c r="B6" s="8"/>
      <c r="C6" s="8"/>
      <c r="D6" s="8"/>
      <c r="E6" s="8"/>
      <c r="F6" s="8"/>
      <c r="G6" s="9"/>
      <c r="H6" s="8"/>
      <c r="I6" s="8"/>
      <c r="J6" s="8"/>
      <c r="K6" s="8"/>
      <c r="L6" s="329"/>
      <c r="M6" s="329"/>
      <c r="N6" s="329"/>
      <c r="O6" s="329"/>
      <c r="P6" s="329"/>
      <c r="Q6" s="329"/>
      <c r="R6" s="329"/>
      <c r="S6" s="329"/>
      <c r="T6" s="329"/>
      <c r="U6" s="329"/>
      <c r="V6" s="329"/>
      <c r="W6" s="329"/>
      <c r="X6" s="329"/>
      <c r="Y6" s="329"/>
      <c r="Z6" s="329"/>
      <c r="AA6" s="329"/>
      <c r="AB6" s="329"/>
      <c r="AC6" s="8"/>
      <c r="AD6" s="10"/>
      <c r="AE6" s="8"/>
      <c r="AF6" s="8"/>
      <c r="AG6" s="8"/>
      <c r="AH6" s="8"/>
      <c r="AI6" s="8"/>
      <c r="AJ6" s="8"/>
      <c r="AK6" s="8"/>
      <c r="AL6" s="8"/>
      <c r="AM6" s="8"/>
      <c r="AN6" s="11"/>
      <c r="AQ6" s="98" t="s">
        <v>58</v>
      </c>
      <c r="AR6" s="104" t="s">
        <v>59</v>
      </c>
      <c r="AS6" s="101">
        <v>0.15</v>
      </c>
    </row>
    <row r="7" spans="1:45" ht="9.75" customHeight="1">
      <c r="A7" s="7"/>
      <c r="B7" s="8"/>
      <c r="C7" s="8"/>
      <c r="D7" s="8"/>
      <c r="E7" s="8"/>
      <c r="F7" s="8"/>
      <c r="G7" s="9"/>
      <c r="H7" s="8"/>
      <c r="I7" s="8"/>
      <c r="J7" s="8"/>
      <c r="K7" s="8"/>
      <c r="L7" s="329"/>
      <c r="M7" s="329"/>
      <c r="N7" s="329"/>
      <c r="O7" s="329"/>
      <c r="P7" s="329"/>
      <c r="Q7" s="329"/>
      <c r="R7" s="329"/>
      <c r="S7" s="329"/>
      <c r="T7" s="329"/>
      <c r="U7" s="329"/>
      <c r="V7" s="329"/>
      <c r="W7" s="329"/>
      <c r="X7" s="329"/>
      <c r="Y7" s="329"/>
      <c r="Z7" s="329"/>
      <c r="AA7" s="329"/>
      <c r="AB7" s="329"/>
      <c r="AC7" s="8"/>
      <c r="AD7" s="10"/>
      <c r="AE7" s="8"/>
      <c r="AF7" s="8"/>
      <c r="AG7" s="8"/>
      <c r="AH7" s="8"/>
      <c r="AI7" s="8"/>
      <c r="AJ7" s="8"/>
      <c r="AK7" s="8"/>
      <c r="AL7" s="8"/>
      <c r="AM7" s="8"/>
      <c r="AN7" s="11"/>
      <c r="AQ7" s="98" t="s">
        <v>60</v>
      </c>
      <c r="AR7" s="104" t="s">
        <v>61</v>
      </c>
      <c r="AS7" s="101">
        <v>0.1</v>
      </c>
    </row>
    <row r="8" spans="1:45" ht="9.75" customHeight="1">
      <c r="A8" s="7"/>
      <c r="B8" s="8"/>
      <c r="C8" s="8"/>
      <c r="D8" s="8"/>
      <c r="E8" s="8"/>
      <c r="F8" s="8"/>
      <c r="G8" s="9"/>
      <c r="H8" s="8"/>
      <c r="I8" s="8"/>
      <c r="J8" s="8"/>
      <c r="K8" s="8"/>
      <c r="L8" s="329"/>
      <c r="M8" s="329"/>
      <c r="N8" s="329"/>
      <c r="O8" s="329"/>
      <c r="P8" s="329"/>
      <c r="Q8" s="329"/>
      <c r="R8" s="329"/>
      <c r="S8" s="329"/>
      <c r="T8" s="329"/>
      <c r="U8" s="329"/>
      <c r="V8" s="329"/>
      <c r="W8" s="329"/>
      <c r="X8" s="329"/>
      <c r="Y8" s="329"/>
      <c r="Z8" s="329"/>
      <c r="AA8" s="329"/>
      <c r="AB8" s="329"/>
      <c r="AC8" s="8"/>
      <c r="AD8" s="10"/>
      <c r="AE8" s="8"/>
      <c r="AF8" s="8"/>
      <c r="AG8" s="8"/>
      <c r="AH8" s="8"/>
      <c r="AI8" s="8"/>
      <c r="AJ8" s="8"/>
      <c r="AK8" s="8"/>
      <c r="AL8" s="8"/>
      <c r="AM8" s="8"/>
      <c r="AN8" s="11"/>
      <c r="AQ8" s="98" t="s">
        <v>62</v>
      </c>
      <c r="AR8" s="99" t="s">
        <v>63</v>
      </c>
      <c r="AS8" s="101">
        <v>0.15</v>
      </c>
    </row>
    <row r="9" spans="1:45" ht="9.75" customHeight="1" thickBot="1">
      <c r="A9" s="12"/>
      <c r="G9" s="13"/>
      <c r="H9" s="14"/>
      <c r="I9" s="15"/>
      <c r="J9" s="15"/>
      <c r="K9" s="15"/>
      <c r="L9" s="330"/>
      <c r="M9" s="330"/>
      <c r="N9" s="330"/>
      <c r="O9" s="330"/>
      <c r="P9" s="330"/>
      <c r="Q9" s="330"/>
      <c r="R9" s="330"/>
      <c r="S9" s="330"/>
      <c r="T9" s="330"/>
      <c r="U9" s="330"/>
      <c r="V9" s="330"/>
      <c r="W9" s="330"/>
      <c r="X9" s="330"/>
      <c r="Y9" s="330"/>
      <c r="Z9" s="330"/>
      <c r="AA9" s="330"/>
      <c r="AB9" s="330"/>
      <c r="AC9" s="16"/>
      <c r="AD9" s="17"/>
      <c r="AN9" s="18"/>
      <c r="AQ9" s="98" t="s">
        <v>64</v>
      </c>
      <c r="AR9" s="99" t="s">
        <v>65</v>
      </c>
      <c r="AS9" s="101">
        <v>0.1</v>
      </c>
    </row>
    <row r="10" spans="1:45" ht="10.5" customHeight="1" thickBot="1">
      <c r="A10" s="19" t="s">
        <v>4</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1"/>
      <c r="AQ10" s="98" t="s">
        <v>66</v>
      </c>
      <c r="AR10" s="99" t="s">
        <v>67</v>
      </c>
      <c r="AS10" s="101">
        <v>0.15</v>
      </c>
    </row>
    <row r="11" spans="1:45" ht="11.25" customHeight="1">
      <c r="A11" s="333">
        <v>1</v>
      </c>
      <c r="B11" s="331" t="s">
        <v>5</v>
      </c>
      <c r="C11" s="331"/>
      <c r="D11" s="331"/>
      <c r="E11" s="331"/>
      <c r="F11" s="22"/>
      <c r="G11" s="22"/>
      <c r="H11" s="349" t="s">
        <v>6</v>
      </c>
      <c r="I11" s="349"/>
      <c r="J11" s="22"/>
      <c r="K11" s="22"/>
      <c r="L11" s="22"/>
      <c r="M11" s="22"/>
      <c r="N11" s="22"/>
      <c r="O11" s="22"/>
      <c r="P11" s="22"/>
      <c r="Q11" s="22"/>
      <c r="R11" s="351" t="s">
        <v>7</v>
      </c>
      <c r="S11" s="351"/>
      <c r="T11" s="351"/>
      <c r="U11" s="351"/>
      <c r="V11" s="22"/>
      <c r="W11" s="22"/>
      <c r="X11" s="22"/>
      <c r="Y11" s="331" t="s">
        <v>8</v>
      </c>
      <c r="Z11" s="331"/>
      <c r="AA11" s="331"/>
      <c r="AB11" s="22"/>
      <c r="AC11" s="22"/>
      <c r="AD11" s="22"/>
      <c r="AE11" s="22"/>
      <c r="AF11" s="22"/>
      <c r="AG11" s="22"/>
      <c r="AH11" s="22"/>
      <c r="AI11" s="345" t="s">
        <v>7</v>
      </c>
      <c r="AJ11" s="345"/>
      <c r="AK11" s="345"/>
      <c r="AL11" s="345"/>
      <c r="AM11" s="345"/>
      <c r="AN11" s="346"/>
      <c r="AQ11" s="98" t="s">
        <v>68</v>
      </c>
      <c r="AR11" s="99" t="s">
        <v>69</v>
      </c>
      <c r="AS11" s="101">
        <v>0.1</v>
      </c>
    </row>
    <row r="12" spans="1:45" ht="11.25" customHeight="1" thickBot="1">
      <c r="A12" s="334"/>
      <c r="B12" s="332"/>
      <c r="C12" s="332"/>
      <c r="D12" s="332"/>
      <c r="E12" s="332"/>
      <c r="F12" s="15"/>
      <c r="G12" s="15"/>
      <c r="H12" s="350"/>
      <c r="I12" s="350"/>
      <c r="J12" s="15"/>
      <c r="K12" s="15"/>
      <c r="L12" s="15"/>
      <c r="M12" s="15"/>
      <c r="N12" s="15"/>
      <c r="O12" s="15"/>
      <c r="P12" s="15"/>
      <c r="Q12" s="15"/>
      <c r="R12" s="352"/>
      <c r="S12" s="352"/>
      <c r="T12" s="352"/>
      <c r="U12" s="352"/>
      <c r="V12" s="15"/>
      <c r="W12" s="15"/>
      <c r="X12" s="15"/>
      <c r="Y12" s="332"/>
      <c r="Z12" s="332"/>
      <c r="AA12" s="332"/>
      <c r="AB12" s="15"/>
      <c r="AC12" s="15"/>
      <c r="AD12" s="15"/>
      <c r="AE12" s="15"/>
      <c r="AF12" s="15"/>
      <c r="AG12" s="15"/>
      <c r="AH12" s="15"/>
      <c r="AI12" s="347"/>
      <c r="AJ12" s="347"/>
      <c r="AK12" s="347"/>
      <c r="AL12" s="347"/>
      <c r="AM12" s="347"/>
      <c r="AN12" s="348"/>
      <c r="AQ12" s="98" t="s">
        <v>70</v>
      </c>
      <c r="AR12" s="99" t="s">
        <v>71</v>
      </c>
      <c r="AS12" s="101">
        <v>0.15</v>
      </c>
    </row>
    <row r="13" spans="1:45" ht="10.5" customHeight="1" thickBot="1">
      <c r="A13" s="338" t="s">
        <v>10</v>
      </c>
      <c r="B13" s="339"/>
      <c r="C13" s="339"/>
      <c r="D13" s="339"/>
      <c r="E13" s="339"/>
      <c r="F13" s="339"/>
      <c r="G13" s="339"/>
      <c r="H13" s="339"/>
      <c r="I13" s="339"/>
      <c r="J13" s="339"/>
      <c r="K13" s="339"/>
      <c r="L13" s="339"/>
      <c r="M13" s="339"/>
      <c r="N13" s="339"/>
      <c r="O13" s="339"/>
      <c r="P13" s="339"/>
      <c r="Q13" s="339"/>
      <c r="R13" s="339"/>
      <c r="S13" s="339"/>
      <c r="T13" s="339"/>
      <c r="U13" s="339"/>
      <c r="V13" s="339"/>
      <c r="W13" s="339"/>
      <c r="X13" s="339"/>
      <c r="Y13" s="339"/>
      <c r="Z13" s="339"/>
      <c r="AA13" s="339"/>
      <c r="AB13" s="339"/>
      <c r="AC13" s="339"/>
      <c r="AD13" s="339"/>
      <c r="AE13" s="339"/>
      <c r="AF13" s="339"/>
      <c r="AG13" s="339"/>
      <c r="AH13" s="339"/>
      <c r="AI13" s="339"/>
      <c r="AJ13" s="339"/>
      <c r="AK13" s="339"/>
      <c r="AL13" s="339"/>
      <c r="AM13" s="339"/>
      <c r="AN13" s="340"/>
      <c r="AQ13" s="98" t="s">
        <v>72</v>
      </c>
      <c r="AR13" s="99" t="s">
        <v>73</v>
      </c>
      <c r="AS13" s="101">
        <v>0.1</v>
      </c>
    </row>
    <row r="14" spans="1:45" ht="12" customHeight="1">
      <c r="A14" s="333">
        <v>2</v>
      </c>
      <c r="B14" s="336" t="s">
        <v>11</v>
      </c>
      <c r="C14" s="336"/>
      <c r="D14" s="336"/>
      <c r="E14" s="336"/>
      <c r="F14" s="336"/>
      <c r="G14" s="336"/>
      <c r="H14" s="336"/>
      <c r="I14" s="336"/>
      <c r="J14" s="336"/>
      <c r="K14" s="336"/>
      <c r="L14" s="336"/>
      <c r="M14" s="336"/>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3"/>
      <c r="AQ14" s="98" t="s">
        <v>74</v>
      </c>
      <c r="AR14" s="99" t="s">
        <v>75</v>
      </c>
      <c r="AS14" s="101">
        <v>0.15</v>
      </c>
    </row>
    <row r="15" spans="1:45" ht="12" customHeight="1">
      <c r="A15" s="335"/>
      <c r="B15" s="337"/>
      <c r="C15" s="337"/>
      <c r="D15" s="337"/>
      <c r="E15" s="337"/>
      <c r="F15" s="337"/>
      <c r="G15" s="337"/>
      <c r="H15" s="337"/>
      <c r="I15" s="337"/>
      <c r="J15" s="337"/>
      <c r="K15" s="337"/>
      <c r="L15" s="337"/>
      <c r="M15" s="337"/>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5"/>
      <c r="AQ15" s="98" t="s">
        <v>76</v>
      </c>
      <c r="AR15" s="99" t="s">
        <v>77</v>
      </c>
      <c r="AS15" s="101">
        <v>0.1</v>
      </c>
    </row>
    <row r="16" spans="1:45" ht="10.5" customHeight="1">
      <c r="A16" s="26">
        <v>3</v>
      </c>
      <c r="B16" s="1" t="s">
        <v>13</v>
      </c>
      <c r="AN16" s="18"/>
      <c r="AQ16" s="98" t="s">
        <v>78</v>
      </c>
      <c r="AR16" s="99" t="s">
        <v>79</v>
      </c>
      <c r="AS16" s="101">
        <v>0.15</v>
      </c>
    </row>
    <row r="17" spans="1:45" ht="10.5" customHeight="1">
      <c r="A17" s="27"/>
      <c r="AN17" s="18"/>
      <c r="AQ17" s="98" t="s">
        <v>80</v>
      </c>
      <c r="AR17" s="99" t="s">
        <v>81</v>
      </c>
      <c r="AS17" s="101">
        <v>0.1</v>
      </c>
    </row>
    <row r="18" spans="1:45" ht="10.5" customHeight="1">
      <c r="A18" s="27"/>
      <c r="AN18" s="18"/>
      <c r="AQ18" s="98" t="s">
        <v>82</v>
      </c>
      <c r="AR18" s="99" t="s">
        <v>83</v>
      </c>
      <c r="AS18" s="101">
        <v>0.15</v>
      </c>
    </row>
    <row r="19" spans="1:45" ht="10.5" customHeight="1">
      <c r="A19" s="26">
        <v>4</v>
      </c>
      <c r="B19" s="1" t="s">
        <v>15</v>
      </c>
      <c r="AK19" s="28" t="s">
        <v>16</v>
      </c>
      <c r="AL19" s="1" t="s">
        <v>17</v>
      </c>
      <c r="AN19" s="18"/>
      <c r="AQ19" s="98" t="s">
        <v>84</v>
      </c>
      <c r="AR19" s="99" t="s">
        <v>85</v>
      </c>
      <c r="AS19" s="101">
        <v>0.05</v>
      </c>
    </row>
    <row r="20" spans="1:45" ht="10.5" customHeight="1">
      <c r="A20" s="27"/>
      <c r="AN20" s="18"/>
      <c r="AQ20" s="98" t="s">
        <v>86</v>
      </c>
      <c r="AR20" s="99" t="s">
        <v>87</v>
      </c>
      <c r="AS20" s="101">
        <v>0.05</v>
      </c>
    </row>
    <row r="21" spans="1:45" ht="10.5" customHeight="1">
      <c r="A21" s="27"/>
      <c r="AN21" s="18"/>
      <c r="AQ21" s="98" t="s">
        <v>88</v>
      </c>
      <c r="AR21" s="99" t="s">
        <v>89</v>
      </c>
      <c r="AS21" s="101">
        <v>0.02</v>
      </c>
    </row>
    <row r="22" spans="1:45" ht="10.5" customHeight="1">
      <c r="A22" s="26">
        <v>5</v>
      </c>
      <c r="B22" s="1" t="s">
        <v>19</v>
      </c>
      <c r="AN22" s="18"/>
      <c r="AQ22" s="98" t="s">
        <v>90</v>
      </c>
      <c r="AR22" s="99" t="s">
        <v>91</v>
      </c>
      <c r="AS22" s="101">
        <v>0.1</v>
      </c>
    </row>
    <row r="23" spans="1:45" ht="10.5" customHeight="1">
      <c r="A23" s="27"/>
      <c r="AN23" s="18"/>
      <c r="AQ23" s="98" t="s">
        <v>92</v>
      </c>
      <c r="AR23" s="99" t="s">
        <v>93</v>
      </c>
      <c r="AS23" s="101">
        <v>0.15</v>
      </c>
    </row>
    <row r="24" spans="1:45" ht="10.5" customHeight="1" thickBot="1">
      <c r="A24" s="27"/>
      <c r="AN24" s="18"/>
      <c r="AQ24" s="98" t="s">
        <v>94</v>
      </c>
      <c r="AR24" s="99" t="s">
        <v>95</v>
      </c>
      <c r="AS24" s="101">
        <v>0.15</v>
      </c>
    </row>
    <row r="25" spans="1:45" ht="10.5" customHeight="1" thickBot="1">
      <c r="A25" s="338" t="s">
        <v>20</v>
      </c>
      <c r="B25" s="339"/>
      <c r="C25" s="339"/>
      <c r="D25" s="339"/>
      <c r="E25" s="339"/>
      <c r="F25" s="339"/>
      <c r="G25" s="339"/>
      <c r="H25" s="339"/>
      <c r="I25" s="339"/>
      <c r="J25" s="339"/>
      <c r="K25" s="339"/>
      <c r="L25" s="339"/>
      <c r="M25" s="339"/>
      <c r="N25" s="339"/>
      <c r="O25" s="339"/>
      <c r="P25" s="339"/>
      <c r="Q25" s="339"/>
      <c r="R25" s="339"/>
      <c r="S25" s="339"/>
      <c r="T25" s="339"/>
      <c r="U25" s="339"/>
      <c r="V25" s="339"/>
      <c r="W25" s="339"/>
      <c r="X25" s="339"/>
      <c r="Y25" s="339"/>
      <c r="Z25" s="339"/>
      <c r="AA25" s="339"/>
      <c r="AB25" s="339"/>
      <c r="AC25" s="339"/>
      <c r="AD25" s="339"/>
      <c r="AE25" s="339"/>
      <c r="AF25" s="339"/>
      <c r="AG25" s="339"/>
      <c r="AH25" s="339"/>
      <c r="AI25" s="339"/>
      <c r="AJ25" s="339"/>
      <c r="AK25" s="339"/>
      <c r="AL25" s="339"/>
      <c r="AM25" s="339"/>
      <c r="AN25" s="340"/>
      <c r="AQ25" s="98" t="s">
        <v>96</v>
      </c>
      <c r="AR25" s="99" t="s">
        <v>97</v>
      </c>
      <c r="AS25" s="101">
        <v>0.1</v>
      </c>
    </row>
    <row r="26" spans="1:45" ht="11.25" customHeight="1">
      <c r="A26" s="333">
        <v>6</v>
      </c>
      <c r="B26" s="336" t="s">
        <v>11</v>
      </c>
      <c r="C26" s="336"/>
      <c r="D26" s="336"/>
      <c r="E26" s="336"/>
      <c r="F26" s="336"/>
      <c r="G26" s="336"/>
      <c r="H26" s="336"/>
      <c r="I26" s="336"/>
      <c r="J26" s="336"/>
      <c r="K26" s="336"/>
      <c r="L26" s="336"/>
      <c r="M26" s="336"/>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3"/>
      <c r="AQ26" s="98" t="s">
        <v>98</v>
      </c>
      <c r="AR26" s="99" t="s">
        <v>99</v>
      </c>
      <c r="AS26" s="101">
        <v>5.0000000000000001E-3</v>
      </c>
    </row>
    <row r="27" spans="1:45" ht="11.25" customHeight="1">
      <c r="A27" s="335"/>
      <c r="B27" s="337"/>
      <c r="C27" s="337"/>
      <c r="D27" s="337"/>
      <c r="E27" s="337"/>
      <c r="F27" s="337"/>
      <c r="G27" s="337"/>
      <c r="H27" s="337"/>
      <c r="I27" s="337"/>
      <c r="J27" s="337"/>
      <c r="K27" s="337"/>
      <c r="L27" s="337"/>
      <c r="M27" s="337"/>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25"/>
      <c r="AQ27" s="98" t="s">
        <v>100</v>
      </c>
      <c r="AR27" s="99" t="s">
        <v>101</v>
      </c>
      <c r="AS27" s="101">
        <v>0.02</v>
      </c>
    </row>
    <row r="28" spans="1:45" ht="10.5" customHeight="1">
      <c r="A28" s="26">
        <v>7</v>
      </c>
      <c r="B28" s="1" t="s">
        <v>21</v>
      </c>
      <c r="AN28" s="18"/>
      <c r="AQ28" s="98" t="s">
        <v>102</v>
      </c>
      <c r="AR28" s="99" t="s">
        <v>103</v>
      </c>
      <c r="AS28" s="101">
        <v>0.01</v>
      </c>
    </row>
    <row r="29" spans="1:45" ht="10.5" customHeight="1">
      <c r="A29" s="27"/>
      <c r="AN29" s="18"/>
      <c r="AQ29" s="98" t="s">
        <v>35</v>
      </c>
      <c r="AR29" s="99" t="s">
        <v>104</v>
      </c>
      <c r="AS29" s="101">
        <v>0.02</v>
      </c>
    </row>
    <row r="30" spans="1:45" ht="10.5" customHeight="1">
      <c r="A30" s="27"/>
      <c r="AN30" s="18"/>
      <c r="AQ30" s="98" t="s">
        <v>105</v>
      </c>
      <c r="AR30" s="99" t="s">
        <v>106</v>
      </c>
      <c r="AS30" s="101">
        <v>0.1</v>
      </c>
    </row>
    <row r="31" spans="1:45" ht="10.5" customHeight="1">
      <c r="A31" s="26">
        <v>8</v>
      </c>
      <c r="B31" s="1" t="s">
        <v>15</v>
      </c>
      <c r="AK31" s="28" t="s">
        <v>23</v>
      </c>
      <c r="AL31" s="1" t="s">
        <v>17</v>
      </c>
      <c r="AN31" s="18"/>
      <c r="AQ31" s="98" t="s">
        <v>107</v>
      </c>
      <c r="AR31" s="99" t="s">
        <v>108</v>
      </c>
      <c r="AS31" s="101">
        <v>0.15</v>
      </c>
    </row>
    <row r="32" spans="1:45" ht="10.5" customHeight="1">
      <c r="A32" s="27"/>
      <c r="AN32" s="18"/>
      <c r="AQ32" s="98" t="s">
        <v>109</v>
      </c>
      <c r="AR32" s="99" t="s">
        <v>110</v>
      </c>
      <c r="AS32" s="101">
        <v>0.01</v>
      </c>
    </row>
    <row r="33" spans="1:45" ht="10.5" customHeight="1" thickBot="1">
      <c r="A33" s="29"/>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30"/>
      <c r="AQ33" s="98" t="s">
        <v>111</v>
      </c>
      <c r="AR33" s="99" t="s">
        <v>112</v>
      </c>
      <c r="AS33" s="101">
        <v>0.05</v>
      </c>
    </row>
    <row r="34" spans="1:45" ht="10.5" customHeight="1" thickBot="1">
      <c r="A34" s="356" t="s">
        <v>25</v>
      </c>
      <c r="B34" s="357"/>
      <c r="C34" s="357"/>
      <c r="D34" s="357"/>
      <c r="E34" s="357"/>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c r="AD34" s="357"/>
      <c r="AE34" s="357"/>
      <c r="AF34" s="357"/>
      <c r="AG34" s="357"/>
      <c r="AH34" s="357"/>
      <c r="AI34" s="357"/>
      <c r="AJ34" s="357"/>
      <c r="AK34" s="357"/>
      <c r="AL34" s="357"/>
      <c r="AM34" s="357"/>
      <c r="AN34" s="358"/>
      <c r="AQ34" s="98" t="s">
        <v>113</v>
      </c>
      <c r="AR34" s="99" t="s">
        <v>114</v>
      </c>
      <c r="AS34" s="101">
        <v>0.01</v>
      </c>
    </row>
    <row r="35" spans="1:45" ht="10.5" customHeight="1">
      <c r="A35" s="371" t="s">
        <v>26</v>
      </c>
      <c r="B35" s="360"/>
      <c r="C35" s="360"/>
      <c r="D35" s="360"/>
      <c r="E35" s="360"/>
      <c r="F35" s="360"/>
      <c r="G35" s="360"/>
      <c r="H35" s="360"/>
      <c r="I35" s="360"/>
      <c r="J35" s="360"/>
      <c r="K35" s="368"/>
      <c r="L35" s="359" t="s">
        <v>27</v>
      </c>
      <c r="M35" s="360"/>
      <c r="N35" s="368"/>
      <c r="O35" s="374" t="s">
        <v>28</v>
      </c>
      <c r="P35" s="375"/>
      <c r="Q35" s="375"/>
      <c r="R35" s="375"/>
      <c r="S35" s="375"/>
      <c r="T35" s="375"/>
      <c r="U35" s="375"/>
      <c r="V35" s="375"/>
      <c r="W35" s="375"/>
      <c r="X35" s="375"/>
      <c r="Y35" s="375"/>
      <c r="Z35" s="375"/>
      <c r="AA35" s="375"/>
      <c r="AB35" s="375"/>
      <c r="AC35" s="375"/>
      <c r="AD35" s="375"/>
      <c r="AE35" s="375"/>
      <c r="AF35" s="375"/>
      <c r="AG35" s="375"/>
      <c r="AH35" s="376"/>
      <c r="AI35" s="359" t="s">
        <v>29</v>
      </c>
      <c r="AJ35" s="360"/>
      <c r="AK35" s="360"/>
      <c r="AL35" s="360"/>
      <c r="AM35" s="360"/>
      <c r="AN35" s="361"/>
      <c r="AQ35" s="98" t="s">
        <v>115</v>
      </c>
      <c r="AR35" s="99" t="s">
        <v>116</v>
      </c>
      <c r="AS35" s="101">
        <v>0.05</v>
      </c>
    </row>
    <row r="36" spans="1:45" ht="10.5" customHeight="1">
      <c r="A36" s="372"/>
      <c r="B36" s="363"/>
      <c r="C36" s="363"/>
      <c r="D36" s="363"/>
      <c r="E36" s="363"/>
      <c r="F36" s="363"/>
      <c r="G36" s="363"/>
      <c r="H36" s="363"/>
      <c r="I36" s="363"/>
      <c r="J36" s="363"/>
      <c r="K36" s="369"/>
      <c r="L36" s="362"/>
      <c r="M36" s="363"/>
      <c r="N36" s="369"/>
      <c r="O36" s="377" t="s">
        <v>30</v>
      </c>
      <c r="P36" s="378"/>
      <c r="Q36" s="378"/>
      <c r="R36" s="378"/>
      <c r="S36" s="379"/>
      <c r="T36" s="377" t="s">
        <v>31</v>
      </c>
      <c r="U36" s="378"/>
      <c r="V36" s="378"/>
      <c r="W36" s="378"/>
      <c r="X36" s="379"/>
      <c r="Y36" s="377" t="s">
        <v>32</v>
      </c>
      <c r="Z36" s="378"/>
      <c r="AA36" s="378"/>
      <c r="AB36" s="378"/>
      <c r="AC36" s="379"/>
      <c r="AD36" s="377" t="s">
        <v>33</v>
      </c>
      <c r="AE36" s="378"/>
      <c r="AF36" s="378"/>
      <c r="AG36" s="378"/>
      <c r="AH36" s="379"/>
      <c r="AI36" s="362"/>
      <c r="AJ36" s="363"/>
      <c r="AK36" s="363"/>
      <c r="AL36" s="363"/>
      <c r="AM36" s="363"/>
      <c r="AN36" s="364"/>
      <c r="AQ36" s="98" t="s">
        <v>117</v>
      </c>
      <c r="AR36" s="99" t="s">
        <v>118</v>
      </c>
      <c r="AS36" s="101">
        <v>0.01</v>
      </c>
    </row>
    <row r="37" spans="1:45" ht="10.5" customHeight="1">
      <c r="A37" s="373"/>
      <c r="B37" s="366"/>
      <c r="C37" s="366"/>
      <c r="D37" s="366"/>
      <c r="E37" s="366"/>
      <c r="F37" s="366"/>
      <c r="G37" s="366"/>
      <c r="H37" s="366"/>
      <c r="I37" s="366"/>
      <c r="J37" s="366"/>
      <c r="K37" s="370"/>
      <c r="L37" s="365"/>
      <c r="M37" s="366"/>
      <c r="N37" s="370"/>
      <c r="O37" s="365"/>
      <c r="P37" s="366"/>
      <c r="Q37" s="366"/>
      <c r="R37" s="366"/>
      <c r="S37" s="370"/>
      <c r="T37" s="365"/>
      <c r="U37" s="366"/>
      <c r="V37" s="366"/>
      <c r="W37" s="366"/>
      <c r="X37" s="370"/>
      <c r="Y37" s="365"/>
      <c r="Z37" s="366"/>
      <c r="AA37" s="366"/>
      <c r="AB37" s="366"/>
      <c r="AC37" s="370"/>
      <c r="AD37" s="365"/>
      <c r="AE37" s="366"/>
      <c r="AF37" s="366"/>
      <c r="AG37" s="366"/>
      <c r="AH37" s="370"/>
      <c r="AI37" s="365"/>
      <c r="AJ37" s="366"/>
      <c r="AK37" s="366"/>
      <c r="AL37" s="366"/>
      <c r="AM37" s="366"/>
      <c r="AN37" s="367"/>
      <c r="AQ37" s="98" t="s">
        <v>119</v>
      </c>
      <c r="AR37" s="99" t="s">
        <v>120</v>
      </c>
      <c r="AS37" s="101">
        <v>0.01</v>
      </c>
    </row>
    <row r="38" spans="1:45" ht="15" customHeight="1">
      <c r="A38" s="384" t="s">
        <v>121</v>
      </c>
      <c r="B38" s="385"/>
      <c r="C38" s="385"/>
      <c r="D38" s="385"/>
      <c r="E38" s="385"/>
      <c r="F38" s="385"/>
      <c r="G38" s="385"/>
      <c r="H38" s="385"/>
      <c r="I38" s="385"/>
      <c r="J38" s="385"/>
      <c r="K38" s="386"/>
      <c r="L38" s="267" t="s">
        <v>102</v>
      </c>
      <c r="M38" s="268"/>
      <c r="N38" s="269"/>
      <c r="O38" s="353"/>
      <c r="P38" s="354"/>
      <c r="Q38" s="354"/>
      <c r="R38" s="354"/>
      <c r="S38" s="355"/>
      <c r="T38" s="353"/>
      <c r="U38" s="354"/>
      <c r="V38" s="354"/>
      <c r="W38" s="354"/>
      <c r="X38" s="355"/>
      <c r="Y38" s="353">
        <v>73000</v>
      </c>
      <c r="Z38" s="354"/>
      <c r="AA38" s="354"/>
      <c r="AB38" s="354"/>
      <c r="AC38" s="355"/>
      <c r="AD38" s="353">
        <f>SUM(O38:AC38)</f>
        <v>73000</v>
      </c>
      <c r="AE38" s="354"/>
      <c r="AF38" s="354"/>
      <c r="AG38" s="354"/>
      <c r="AH38" s="355"/>
      <c r="AI38" s="353">
        <f>IFERROR(ROUND(AD38*AP38,2),"")</f>
        <v>730</v>
      </c>
      <c r="AJ38" s="354"/>
      <c r="AK38" s="354"/>
      <c r="AL38" s="354"/>
      <c r="AM38" s="354"/>
      <c r="AN38" s="383"/>
      <c r="AP38" s="105">
        <f>IFERROR(VLOOKUP(L38,AQ3:AS98,3,0),"")</f>
        <v>0.01</v>
      </c>
      <c r="AQ38" s="98" t="s">
        <v>122</v>
      </c>
      <c r="AR38" s="99" t="s">
        <v>123</v>
      </c>
      <c r="AS38" s="101">
        <v>0.25</v>
      </c>
    </row>
    <row r="39" spans="1:45" ht="15" customHeight="1">
      <c r="A39" s="387"/>
      <c r="B39" s="388"/>
      <c r="C39" s="388"/>
      <c r="D39" s="388"/>
      <c r="E39" s="388"/>
      <c r="F39" s="388"/>
      <c r="G39" s="388"/>
      <c r="H39" s="388"/>
      <c r="I39" s="388"/>
      <c r="J39" s="388"/>
      <c r="K39" s="389"/>
      <c r="L39" s="267"/>
      <c r="M39" s="268"/>
      <c r="N39" s="269"/>
      <c r="O39" s="353"/>
      <c r="P39" s="354"/>
      <c r="Q39" s="354"/>
      <c r="R39" s="354"/>
      <c r="S39" s="355"/>
      <c r="T39" s="353"/>
      <c r="U39" s="354"/>
      <c r="V39" s="354"/>
      <c r="W39" s="354"/>
      <c r="X39" s="355"/>
      <c r="Y39" s="353"/>
      <c r="Z39" s="354"/>
      <c r="AA39" s="354"/>
      <c r="AB39" s="354"/>
      <c r="AC39" s="355"/>
      <c r="AD39" s="353">
        <f t="shared" ref="AD39:AD47" si="0">SUM(O39:AC39)</f>
        <v>0</v>
      </c>
      <c r="AE39" s="354"/>
      <c r="AF39" s="354"/>
      <c r="AG39" s="354"/>
      <c r="AH39" s="355"/>
      <c r="AI39" s="353" t="str">
        <f t="shared" ref="AI39:AI47" si="1">IFERROR(ROUND(AD39*AP39,2),"")</f>
        <v/>
      </c>
      <c r="AJ39" s="354"/>
      <c r="AK39" s="354"/>
      <c r="AL39" s="354"/>
      <c r="AM39" s="354"/>
      <c r="AN39" s="383"/>
      <c r="AP39" s="105" t="str">
        <f t="shared" ref="AP39:AP47" si="2">IFERROR(VLOOKUP(L39,AQ4:AS99,3,0),"")</f>
        <v/>
      </c>
      <c r="AQ39" s="98" t="s">
        <v>124</v>
      </c>
      <c r="AR39" s="99" t="s">
        <v>125</v>
      </c>
      <c r="AS39" s="101">
        <v>0.32</v>
      </c>
    </row>
    <row r="40" spans="1:45" ht="15" customHeight="1">
      <c r="A40" s="387"/>
      <c r="B40" s="388"/>
      <c r="C40" s="388"/>
      <c r="D40" s="388"/>
      <c r="E40" s="388"/>
      <c r="F40" s="388"/>
      <c r="G40" s="388"/>
      <c r="H40" s="388"/>
      <c r="I40" s="388"/>
      <c r="J40" s="388"/>
      <c r="K40" s="389"/>
      <c r="L40" s="267"/>
      <c r="M40" s="268"/>
      <c r="N40" s="269"/>
      <c r="O40" s="353"/>
      <c r="P40" s="354"/>
      <c r="Q40" s="354"/>
      <c r="R40" s="354"/>
      <c r="S40" s="355"/>
      <c r="T40" s="353"/>
      <c r="U40" s="354"/>
      <c r="V40" s="354"/>
      <c r="W40" s="354"/>
      <c r="X40" s="355"/>
      <c r="Y40" s="353"/>
      <c r="Z40" s="354"/>
      <c r="AA40" s="354"/>
      <c r="AB40" s="354"/>
      <c r="AC40" s="355"/>
      <c r="AD40" s="353">
        <f t="shared" si="0"/>
        <v>0</v>
      </c>
      <c r="AE40" s="354"/>
      <c r="AF40" s="354"/>
      <c r="AG40" s="354"/>
      <c r="AH40" s="355"/>
      <c r="AI40" s="353" t="str">
        <f t="shared" si="1"/>
        <v/>
      </c>
      <c r="AJ40" s="354"/>
      <c r="AK40" s="354"/>
      <c r="AL40" s="354"/>
      <c r="AM40" s="354"/>
      <c r="AN40" s="383"/>
      <c r="AP40" s="105" t="str">
        <f t="shared" si="2"/>
        <v/>
      </c>
      <c r="AQ40" s="98" t="s">
        <v>126</v>
      </c>
      <c r="AR40" s="99" t="s">
        <v>127</v>
      </c>
      <c r="AS40" s="101">
        <v>0.1</v>
      </c>
    </row>
    <row r="41" spans="1:45" ht="15" customHeight="1">
      <c r="A41" s="390"/>
      <c r="B41" s="391"/>
      <c r="C41" s="391"/>
      <c r="D41" s="391"/>
      <c r="E41" s="391"/>
      <c r="F41" s="391"/>
      <c r="G41" s="391"/>
      <c r="H41" s="391"/>
      <c r="I41" s="391"/>
      <c r="J41" s="391"/>
      <c r="K41" s="392"/>
      <c r="L41" s="267"/>
      <c r="M41" s="268"/>
      <c r="N41" s="269"/>
      <c r="O41" s="353"/>
      <c r="P41" s="354"/>
      <c r="Q41" s="354"/>
      <c r="R41" s="354"/>
      <c r="S41" s="355"/>
      <c r="T41" s="353"/>
      <c r="U41" s="354"/>
      <c r="V41" s="354"/>
      <c r="W41" s="354"/>
      <c r="X41" s="355"/>
      <c r="Y41" s="353"/>
      <c r="Z41" s="354"/>
      <c r="AA41" s="354"/>
      <c r="AB41" s="354"/>
      <c r="AC41" s="355"/>
      <c r="AD41" s="353">
        <f t="shared" si="0"/>
        <v>0</v>
      </c>
      <c r="AE41" s="354"/>
      <c r="AF41" s="354"/>
      <c r="AG41" s="354"/>
      <c r="AH41" s="355"/>
      <c r="AI41" s="353" t="str">
        <f t="shared" si="1"/>
        <v/>
      </c>
      <c r="AJ41" s="354"/>
      <c r="AK41" s="354"/>
      <c r="AL41" s="354"/>
      <c r="AM41" s="354"/>
      <c r="AN41" s="383"/>
      <c r="AP41" s="105" t="str">
        <f t="shared" si="2"/>
        <v/>
      </c>
      <c r="AQ41" s="98" t="s">
        <v>128</v>
      </c>
      <c r="AR41" s="99" t="s">
        <v>129</v>
      </c>
      <c r="AS41" s="101">
        <v>0.1</v>
      </c>
    </row>
    <row r="42" spans="1:45" ht="15" customHeight="1">
      <c r="A42" s="380" t="s">
        <v>130</v>
      </c>
      <c r="B42" s="381"/>
      <c r="C42" s="381"/>
      <c r="D42" s="381"/>
      <c r="E42" s="381"/>
      <c r="F42" s="381"/>
      <c r="G42" s="381"/>
      <c r="H42" s="381"/>
      <c r="I42" s="381"/>
      <c r="J42" s="381"/>
      <c r="K42" s="382"/>
      <c r="L42" s="267"/>
      <c r="M42" s="268"/>
      <c r="N42" s="269"/>
      <c r="O42" s="353"/>
      <c r="P42" s="354"/>
      <c r="Q42" s="354"/>
      <c r="R42" s="354"/>
      <c r="S42" s="355"/>
      <c r="T42" s="353"/>
      <c r="U42" s="354"/>
      <c r="V42" s="354"/>
      <c r="W42" s="354"/>
      <c r="X42" s="355"/>
      <c r="Y42" s="353"/>
      <c r="Z42" s="354"/>
      <c r="AA42" s="354"/>
      <c r="AB42" s="354"/>
      <c r="AC42" s="355"/>
      <c r="AD42" s="353">
        <f t="shared" si="0"/>
        <v>0</v>
      </c>
      <c r="AE42" s="354"/>
      <c r="AF42" s="354"/>
      <c r="AG42" s="354"/>
      <c r="AH42" s="355"/>
      <c r="AI42" s="353" t="str">
        <f t="shared" si="1"/>
        <v/>
      </c>
      <c r="AJ42" s="354"/>
      <c r="AK42" s="354"/>
      <c r="AL42" s="354"/>
      <c r="AM42" s="354"/>
      <c r="AN42" s="383"/>
      <c r="AP42" s="105" t="str">
        <f t="shared" si="2"/>
        <v/>
      </c>
      <c r="AQ42" s="98" t="s">
        <v>131</v>
      </c>
      <c r="AR42" s="99" t="s">
        <v>132</v>
      </c>
      <c r="AS42" s="101">
        <v>0.1</v>
      </c>
    </row>
    <row r="43" spans="1:45" ht="15" customHeight="1">
      <c r="A43" s="380" t="s">
        <v>133</v>
      </c>
      <c r="B43" s="381"/>
      <c r="C43" s="381"/>
      <c r="D43" s="381"/>
      <c r="E43" s="381"/>
      <c r="F43" s="381"/>
      <c r="G43" s="381"/>
      <c r="H43" s="381"/>
      <c r="I43" s="381"/>
      <c r="J43" s="381"/>
      <c r="K43" s="382"/>
      <c r="L43" s="267"/>
      <c r="M43" s="268"/>
      <c r="N43" s="269"/>
      <c r="O43" s="353"/>
      <c r="P43" s="354"/>
      <c r="Q43" s="354"/>
      <c r="R43" s="354"/>
      <c r="S43" s="355"/>
      <c r="T43" s="353"/>
      <c r="U43" s="354"/>
      <c r="V43" s="354"/>
      <c r="W43" s="354"/>
      <c r="X43" s="355"/>
      <c r="Y43" s="353"/>
      <c r="Z43" s="354"/>
      <c r="AA43" s="354"/>
      <c r="AB43" s="354"/>
      <c r="AC43" s="355"/>
      <c r="AD43" s="353">
        <f t="shared" si="0"/>
        <v>0</v>
      </c>
      <c r="AE43" s="354"/>
      <c r="AF43" s="354"/>
      <c r="AG43" s="354"/>
      <c r="AH43" s="355"/>
      <c r="AI43" s="353" t="str">
        <f t="shared" si="1"/>
        <v/>
      </c>
      <c r="AJ43" s="354"/>
      <c r="AK43" s="354"/>
      <c r="AL43" s="354"/>
      <c r="AM43" s="354"/>
      <c r="AN43" s="383"/>
      <c r="AP43" s="105" t="str">
        <f t="shared" si="2"/>
        <v/>
      </c>
      <c r="AQ43" s="98" t="s">
        <v>134</v>
      </c>
      <c r="AR43" s="99" t="s">
        <v>135</v>
      </c>
      <c r="AS43" s="101">
        <v>0.2</v>
      </c>
    </row>
    <row r="44" spans="1:45" ht="15" customHeight="1">
      <c r="A44" s="380"/>
      <c r="B44" s="381"/>
      <c r="C44" s="381"/>
      <c r="D44" s="381"/>
      <c r="E44" s="381"/>
      <c r="F44" s="381"/>
      <c r="G44" s="381"/>
      <c r="H44" s="381"/>
      <c r="I44" s="381"/>
      <c r="J44" s="381"/>
      <c r="K44" s="382"/>
      <c r="L44" s="267"/>
      <c r="M44" s="268"/>
      <c r="N44" s="269"/>
      <c r="O44" s="353"/>
      <c r="P44" s="354"/>
      <c r="Q44" s="354"/>
      <c r="R44" s="354"/>
      <c r="S44" s="355"/>
      <c r="T44" s="353"/>
      <c r="U44" s="354"/>
      <c r="V44" s="354"/>
      <c r="W44" s="354"/>
      <c r="X44" s="355"/>
      <c r="Y44" s="353"/>
      <c r="Z44" s="354"/>
      <c r="AA44" s="354"/>
      <c r="AB44" s="354"/>
      <c r="AC44" s="355"/>
      <c r="AD44" s="353">
        <f t="shared" si="0"/>
        <v>0</v>
      </c>
      <c r="AE44" s="354"/>
      <c r="AF44" s="354"/>
      <c r="AG44" s="354"/>
      <c r="AH44" s="355"/>
      <c r="AI44" s="353" t="str">
        <f t="shared" si="1"/>
        <v/>
      </c>
      <c r="AJ44" s="354"/>
      <c r="AK44" s="354"/>
      <c r="AL44" s="354"/>
      <c r="AM44" s="354"/>
      <c r="AN44" s="383"/>
      <c r="AP44" s="105" t="str">
        <f t="shared" si="2"/>
        <v/>
      </c>
      <c r="AQ44" s="98" t="s">
        <v>136</v>
      </c>
      <c r="AR44" s="99" t="s">
        <v>137</v>
      </c>
      <c r="AS44" s="101">
        <v>0.05</v>
      </c>
    </row>
    <row r="45" spans="1:45" ht="15" customHeight="1">
      <c r="A45" s="380"/>
      <c r="B45" s="381"/>
      <c r="C45" s="381"/>
      <c r="D45" s="381"/>
      <c r="E45" s="381"/>
      <c r="F45" s="381"/>
      <c r="G45" s="381"/>
      <c r="H45" s="381"/>
      <c r="I45" s="381"/>
      <c r="J45" s="381"/>
      <c r="K45" s="382"/>
      <c r="L45" s="267"/>
      <c r="M45" s="268"/>
      <c r="N45" s="269"/>
      <c r="O45" s="353"/>
      <c r="P45" s="354"/>
      <c r="Q45" s="354"/>
      <c r="R45" s="354"/>
      <c r="S45" s="355"/>
      <c r="T45" s="353"/>
      <c r="U45" s="354"/>
      <c r="V45" s="354"/>
      <c r="W45" s="354"/>
      <c r="X45" s="355"/>
      <c r="Y45" s="353"/>
      <c r="Z45" s="354"/>
      <c r="AA45" s="354"/>
      <c r="AB45" s="354"/>
      <c r="AC45" s="355"/>
      <c r="AD45" s="353">
        <f t="shared" si="0"/>
        <v>0</v>
      </c>
      <c r="AE45" s="354"/>
      <c r="AF45" s="354"/>
      <c r="AG45" s="354"/>
      <c r="AH45" s="355"/>
      <c r="AI45" s="353" t="str">
        <f t="shared" si="1"/>
        <v/>
      </c>
      <c r="AJ45" s="354"/>
      <c r="AK45" s="354"/>
      <c r="AL45" s="354"/>
      <c r="AM45" s="354"/>
      <c r="AN45" s="383"/>
      <c r="AP45" s="105" t="str">
        <f t="shared" si="2"/>
        <v/>
      </c>
      <c r="AQ45" s="98" t="s">
        <v>138</v>
      </c>
      <c r="AR45" s="99" t="s">
        <v>139</v>
      </c>
      <c r="AS45" s="101">
        <v>0.01</v>
      </c>
    </row>
    <row r="46" spans="1:45" ht="15" customHeight="1">
      <c r="A46" s="380"/>
      <c r="B46" s="381"/>
      <c r="C46" s="381"/>
      <c r="D46" s="381"/>
      <c r="E46" s="381"/>
      <c r="F46" s="381"/>
      <c r="G46" s="381"/>
      <c r="H46" s="381"/>
      <c r="I46" s="381"/>
      <c r="J46" s="381"/>
      <c r="K46" s="382"/>
      <c r="L46" s="267"/>
      <c r="M46" s="268"/>
      <c r="N46" s="269"/>
      <c r="O46" s="353"/>
      <c r="P46" s="354"/>
      <c r="Q46" s="354"/>
      <c r="R46" s="354"/>
      <c r="S46" s="355"/>
      <c r="T46" s="353"/>
      <c r="U46" s="354"/>
      <c r="V46" s="354"/>
      <c r="W46" s="354"/>
      <c r="X46" s="355"/>
      <c r="Y46" s="353"/>
      <c r="Z46" s="354"/>
      <c r="AA46" s="354"/>
      <c r="AB46" s="354"/>
      <c r="AC46" s="355"/>
      <c r="AD46" s="353">
        <f t="shared" si="0"/>
        <v>0</v>
      </c>
      <c r="AE46" s="354"/>
      <c r="AF46" s="354"/>
      <c r="AG46" s="354"/>
      <c r="AH46" s="355"/>
      <c r="AI46" s="353" t="str">
        <f t="shared" si="1"/>
        <v/>
      </c>
      <c r="AJ46" s="354"/>
      <c r="AK46" s="354"/>
      <c r="AL46" s="354"/>
      <c r="AM46" s="354"/>
      <c r="AN46" s="383"/>
      <c r="AP46" s="105" t="str">
        <f t="shared" si="2"/>
        <v/>
      </c>
      <c r="AQ46" s="98" t="s">
        <v>140</v>
      </c>
      <c r="AR46" s="99" t="s">
        <v>141</v>
      </c>
      <c r="AS46" s="101">
        <v>0.2</v>
      </c>
    </row>
    <row r="47" spans="1:45" ht="15" customHeight="1">
      <c r="A47" s="380"/>
      <c r="B47" s="381"/>
      <c r="C47" s="381"/>
      <c r="D47" s="381"/>
      <c r="E47" s="381"/>
      <c r="F47" s="381"/>
      <c r="G47" s="381"/>
      <c r="H47" s="381"/>
      <c r="I47" s="381"/>
      <c r="J47" s="381"/>
      <c r="K47" s="382"/>
      <c r="L47" s="267"/>
      <c r="M47" s="268"/>
      <c r="N47" s="269"/>
      <c r="O47" s="353"/>
      <c r="P47" s="354"/>
      <c r="Q47" s="354"/>
      <c r="R47" s="354"/>
      <c r="S47" s="355"/>
      <c r="T47" s="353"/>
      <c r="U47" s="354"/>
      <c r="V47" s="354"/>
      <c r="W47" s="354"/>
      <c r="X47" s="355"/>
      <c r="Y47" s="353"/>
      <c r="Z47" s="354"/>
      <c r="AA47" s="354"/>
      <c r="AB47" s="354"/>
      <c r="AC47" s="355"/>
      <c r="AD47" s="353">
        <f t="shared" si="0"/>
        <v>0</v>
      </c>
      <c r="AE47" s="354"/>
      <c r="AF47" s="354"/>
      <c r="AG47" s="354"/>
      <c r="AH47" s="355"/>
      <c r="AI47" s="353" t="str">
        <f t="shared" si="1"/>
        <v/>
      </c>
      <c r="AJ47" s="354"/>
      <c r="AK47" s="354"/>
      <c r="AL47" s="354"/>
      <c r="AM47" s="354"/>
      <c r="AN47" s="383"/>
      <c r="AP47" s="105" t="str">
        <f t="shared" si="2"/>
        <v/>
      </c>
      <c r="AQ47" s="98" t="s">
        <v>142</v>
      </c>
      <c r="AR47" s="99" t="s">
        <v>143</v>
      </c>
      <c r="AS47" s="101">
        <v>0.01</v>
      </c>
    </row>
    <row r="48" spans="1:45" ht="15" customHeight="1">
      <c r="A48" s="401" t="s">
        <v>33</v>
      </c>
      <c r="B48" s="402"/>
      <c r="C48" s="402"/>
      <c r="D48" s="402"/>
      <c r="E48" s="402"/>
      <c r="F48" s="402"/>
      <c r="G48" s="402"/>
      <c r="H48" s="402"/>
      <c r="I48" s="402"/>
      <c r="J48" s="402"/>
      <c r="K48" s="403"/>
      <c r="L48" s="396"/>
      <c r="M48" s="397"/>
      <c r="N48" s="398"/>
      <c r="O48" s="353">
        <f>SUM(O38:S47)</f>
        <v>0</v>
      </c>
      <c r="P48" s="354"/>
      <c r="Q48" s="354"/>
      <c r="R48" s="354"/>
      <c r="S48" s="355"/>
      <c r="T48" s="353">
        <f t="shared" ref="T48" si="3">SUM(T38:X47)</f>
        <v>0</v>
      </c>
      <c r="U48" s="354"/>
      <c r="V48" s="354"/>
      <c r="W48" s="354"/>
      <c r="X48" s="355"/>
      <c r="Y48" s="353">
        <f t="shared" ref="Y48" si="4">SUM(Y38:AC47)</f>
        <v>73000</v>
      </c>
      <c r="Z48" s="354"/>
      <c r="AA48" s="354"/>
      <c r="AB48" s="354"/>
      <c r="AC48" s="355"/>
      <c r="AD48" s="353">
        <f t="shared" ref="AD48" si="5">SUM(AD38:AH47)</f>
        <v>73000</v>
      </c>
      <c r="AE48" s="354"/>
      <c r="AF48" s="354"/>
      <c r="AG48" s="354"/>
      <c r="AH48" s="355"/>
      <c r="AI48" s="353">
        <f>SUM(AI38:AN47)</f>
        <v>730</v>
      </c>
      <c r="AJ48" s="354"/>
      <c r="AK48" s="354"/>
      <c r="AL48" s="354"/>
      <c r="AM48" s="354"/>
      <c r="AN48" s="383"/>
      <c r="AP48" s="106"/>
      <c r="AQ48" s="98" t="s">
        <v>144</v>
      </c>
      <c r="AR48" s="99" t="s">
        <v>145</v>
      </c>
      <c r="AS48" s="101">
        <v>0.05</v>
      </c>
    </row>
    <row r="49" spans="1:45" ht="10.5" customHeight="1">
      <c r="A49" s="400" t="s">
        <v>36</v>
      </c>
      <c r="B49" s="378"/>
      <c r="C49" s="378"/>
      <c r="D49" s="378"/>
      <c r="E49" s="378"/>
      <c r="F49" s="378"/>
      <c r="G49" s="378"/>
      <c r="H49" s="378"/>
      <c r="I49" s="378"/>
      <c r="J49" s="378"/>
      <c r="K49" s="379"/>
      <c r="L49" s="31"/>
      <c r="M49" s="32"/>
      <c r="N49" s="33"/>
      <c r="O49" s="31"/>
      <c r="P49" s="32"/>
      <c r="Q49" s="32"/>
      <c r="R49" s="32"/>
      <c r="S49" s="33"/>
      <c r="T49" s="31"/>
      <c r="U49" s="32"/>
      <c r="V49" s="32"/>
      <c r="W49" s="32"/>
      <c r="X49" s="33"/>
      <c r="Y49" s="31"/>
      <c r="Z49" s="32"/>
      <c r="AA49" s="32"/>
      <c r="AB49" s="32"/>
      <c r="AC49" s="33"/>
      <c r="AD49" s="31"/>
      <c r="AE49" s="32"/>
      <c r="AF49" s="32"/>
      <c r="AG49" s="32"/>
      <c r="AH49" s="33"/>
      <c r="AI49" s="31"/>
      <c r="AJ49" s="32"/>
      <c r="AK49" s="32"/>
      <c r="AL49" s="32"/>
      <c r="AM49" s="32"/>
      <c r="AN49" s="34"/>
      <c r="AQ49" s="98" t="s">
        <v>146</v>
      </c>
      <c r="AR49" s="99" t="s">
        <v>147</v>
      </c>
      <c r="AS49" s="101">
        <v>0.1</v>
      </c>
    </row>
    <row r="50" spans="1:45" ht="10.5" customHeight="1">
      <c r="A50" s="373"/>
      <c r="B50" s="366"/>
      <c r="C50" s="366"/>
      <c r="D50" s="366"/>
      <c r="E50" s="366"/>
      <c r="F50" s="366"/>
      <c r="G50" s="366"/>
      <c r="H50" s="366"/>
      <c r="I50" s="366"/>
      <c r="J50" s="366"/>
      <c r="K50" s="370"/>
      <c r="L50" s="35"/>
      <c r="M50" s="24"/>
      <c r="N50" s="36"/>
      <c r="O50" s="35"/>
      <c r="P50" s="24"/>
      <c r="Q50" s="24"/>
      <c r="R50" s="24"/>
      <c r="S50" s="36"/>
      <c r="T50" s="35"/>
      <c r="U50" s="24"/>
      <c r="V50" s="24"/>
      <c r="W50" s="24"/>
      <c r="X50" s="36"/>
      <c r="Y50" s="35"/>
      <c r="Z50" s="24"/>
      <c r="AA50" s="24"/>
      <c r="AB50" s="24"/>
      <c r="AC50" s="36"/>
      <c r="AD50" s="35"/>
      <c r="AE50" s="24"/>
      <c r="AF50" s="24"/>
      <c r="AG50" s="24"/>
      <c r="AH50" s="36"/>
      <c r="AI50" s="35"/>
      <c r="AJ50" s="24"/>
      <c r="AK50" s="24"/>
      <c r="AL50" s="24"/>
      <c r="AM50" s="24"/>
      <c r="AN50" s="25"/>
      <c r="AQ50" s="98" t="s">
        <v>148</v>
      </c>
      <c r="AR50" s="99" t="s">
        <v>149</v>
      </c>
      <c r="AS50" s="101">
        <v>0.05</v>
      </c>
    </row>
    <row r="51" spans="1:45" ht="15" customHeight="1">
      <c r="A51" s="393"/>
      <c r="B51" s="394"/>
      <c r="C51" s="394"/>
      <c r="D51" s="394"/>
      <c r="E51" s="394"/>
      <c r="F51" s="394"/>
      <c r="G51" s="394"/>
      <c r="H51" s="394"/>
      <c r="I51" s="394"/>
      <c r="J51" s="394"/>
      <c r="K51" s="395"/>
      <c r="L51" s="396"/>
      <c r="M51" s="397"/>
      <c r="N51" s="398"/>
      <c r="O51" s="396"/>
      <c r="P51" s="397"/>
      <c r="Q51" s="397"/>
      <c r="R51" s="397"/>
      <c r="S51" s="398"/>
      <c r="T51" s="396"/>
      <c r="U51" s="397"/>
      <c r="V51" s="397"/>
      <c r="W51" s="397"/>
      <c r="X51" s="398"/>
      <c r="Y51" s="396"/>
      <c r="Z51" s="397"/>
      <c r="AA51" s="397"/>
      <c r="AB51" s="397"/>
      <c r="AC51" s="398"/>
      <c r="AD51" s="396"/>
      <c r="AE51" s="397"/>
      <c r="AF51" s="397"/>
      <c r="AG51" s="397"/>
      <c r="AH51" s="398"/>
      <c r="AI51" s="396"/>
      <c r="AJ51" s="397"/>
      <c r="AK51" s="397"/>
      <c r="AL51" s="397"/>
      <c r="AM51" s="397"/>
      <c r="AN51" s="399"/>
      <c r="AQ51" s="98" t="s">
        <v>150</v>
      </c>
      <c r="AR51" s="99" t="s">
        <v>151</v>
      </c>
      <c r="AS51" s="101">
        <v>0.1</v>
      </c>
    </row>
    <row r="52" spans="1:45" ht="15" customHeight="1">
      <c r="A52" s="393"/>
      <c r="B52" s="394"/>
      <c r="C52" s="394"/>
      <c r="D52" s="394"/>
      <c r="E52" s="394"/>
      <c r="F52" s="394"/>
      <c r="G52" s="394"/>
      <c r="H52" s="394"/>
      <c r="I52" s="394"/>
      <c r="J52" s="394"/>
      <c r="K52" s="395"/>
      <c r="L52" s="396"/>
      <c r="M52" s="397"/>
      <c r="N52" s="398"/>
      <c r="O52" s="396"/>
      <c r="P52" s="397"/>
      <c r="Q52" s="397"/>
      <c r="R52" s="397"/>
      <c r="S52" s="398"/>
      <c r="T52" s="396"/>
      <c r="U52" s="397"/>
      <c r="V52" s="397"/>
      <c r="W52" s="397"/>
      <c r="X52" s="398"/>
      <c r="Y52" s="396"/>
      <c r="Z52" s="397"/>
      <c r="AA52" s="397"/>
      <c r="AB52" s="397"/>
      <c r="AC52" s="398"/>
      <c r="AD52" s="396"/>
      <c r="AE52" s="397"/>
      <c r="AF52" s="397"/>
      <c r="AG52" s="397"/>
      <c r="AH52" s="398"/>
      <c r="AI52" s="396"/>
      <c r="AJ52" s="397"/>
      <c r="AK52" s="397"/>
      <c r="AL52" s="397"/>
      <c r="AM52" s="397"/>
      <c r="AN52" s="399"/>
      <c r="AQ52" s="98" t="s">
        <v>152</v>
      </c>
      <c r="AR52" s="99" t="s">
        <v>153</v>
      </c>
      <c r="AS52" s="101">
        <v>0.05</v>
      </c>
    </row>
    <row r="53" spans="1:45" ht="15" customHeight="1">
      <c r="A53" s="393"/>
      <c r="B53" s="394"/>
      <c r="C53" s="394"/>
      <c r="D53" s="394"/>
      <c r="E53" s="394"/>
      <c r="F53" s="394"/>
      <c r="G53" s="394"/>
      <c r="H53" s="394"/>
      <c r="I53" s="394"/>
      <c r="J53" s="394"/>
      <c r="K53" s="395"/>
      <c r="L53" s="396"/>
      <c r="M53" s="397"/>
      <c r="N53" s="398"/>
      <c r="O53" s="396"/>
      <c r="P53" s="397"/>
      <c r="Q53" s="397"/>
      <c r="R53" s="397"/>
      <c r="S53" s="398"/>
      <c r="T53" s="396"/>
      <c r="U53" s="397"/>
      <c r="V53" s="397"/>
      <c r="W53" s="397"/>
      <c r="X53" s="398"/>
      <c r="Y53" s="396"/>
      <c r="Z53" s="397"/>
      <c r="AA53" s="397"/>
      <c r="AB53" s="397"/>
      <c r="AC53" s="398"/>
      <c r="AD53" s="396"/>
      <c r="AE53" s="397"/>
      <c r="AF53" s="397"/>
      <c r="AG53" s="397"/>
      <c r="AH53" s="398"/>
      <c r="AI53" s="396"/>
      <c r="AJ53" s="397"/>
      <c r="AK53" s="397"/>
      <c r="AL53" s="397"/>
      <c r="AM53" s="397"/>
      <c r="AN53" s="399"/>
      <c r="AQ53" s="98" t="s">
        <v>154</v>
      </c>
      <c r="AR53" s="99" t="s">
        <v>155</v>
      </c>
      <c r="AS53" s="101">
        <v>0.1</v>
      </c>
    </row>
    <row r="54" spans="1:45" ht="15" customHeight="1">
      <c r="A54" s="393"/>
      <c r="B54" s="394"/>
      <c r="C54" s="394"/>
      <c r="D54" s="394"/>
      <c r="E54" s="394"/>
      <c r="F54" s="394"/>
      <c r="G54" s="394"/>
      <c r="H54" s="394"/>
      <c r="I54" s="394"/>
      <c r="J54" s="394"/>
      <c r="K54" s="395"/>
      <c r="L54" s="396"/>
      <c r="M54" s="397"/>
      <c r="N54" s="398"/>
      <c r="O54" s="396"/>
      <c r="P54" s="397"/>
      <c r="Q54" s="397"/>
      <c r="R54" s="397"/>
      <c r="S54" s="398"/>
      <c r="T54" s="396"/>
      <c r="U54" s="397"/>
      <c r="V54" s="397"/>
      <c r="W54" s="397"/>
      <c r="X54" s="398"/>
      <c r="Y54" s="396"/>
      <c r="Z54" s="397"/>
      <c r="AA54" s="397"/>
      <c r="AB54" s="397"/>
      <c r="AC54" s="398"/>
      <c r="AD54" s="396"/>
      <c r="AE54" s="397"/>
      <c r="AF54" s="397"/>
      <c r="AG54" s="397"/>
      <c r="AH54" s="398"/>
      <c r="AI54" s="396"/>
      <c r="AJ54" s="397"/>
      <c r="AK54" s="397"/>
      <c r="AL54" s="397"/>
      <c r="AM54" s="397"/>
      <c r="AN54" s="399"/>
      <c r="AQ54" s="98" t="s">
        <v>156</v>
      </c>
      <c r="AR54" s="99" t="s">
        <v>157</v>
      </c>
      <c r="AS54" s="101">
        <v>0.05</v>
      </c>
    </row>
    <row r="55" spans="1:45" ht="15" customHeight="1">
      <c r="A55" s="393"/>
      <c r="B55" s="394"/>
      <c r="C55" s="394"/>
      <c r="D55" s="394"/>
      <c r="E55" s="394"/>
      <c r="F55" s="394"/>
      <c r="G55" s="394"/>
      <c r="H55" s="394"/>
      <c r="I55" s="394"/>
      <c r="J55" s="394"/>
      <c r="K55" s="395"/>
      <c r="L55" s="396"/>
      <c r="M55" s="397"/>
      <c r="N55" s="398"/>
      <c r="O55" s="396"/>
      <c r="P55" s="397"/>
      <c r="Q55" s="397"/>
      <c r="R55" s="397"/>
      <c r="S55" s="398"/>
      <c r="T55" s="396"/>
      <c r="U55" s="397"/>
      <c r="V55" s="397"/>
      <c r="W55" s="397"/>
      <c r="X55" s="398"/>
      <c r="Y55" s="396"/>
      <c r="Z55" s="397"/>
      <c r="AA55" s="397"/>
      <c r="AB55" s="397"/>
      <c r="AC55" s="398"/>
      <c r="AD55" s="396"/>
      <c r="AE55" s="397"/>
      <c r="AF55" s="397"/>
      <c r="AG55" s="397"/>
      <c r="AH55" s="398"/>
      <c r="AI55" s="396"/>
      <c r="AJ55" s="397"/>
      <c r="AK55" s="397"/>
      <c r="AL55" s="397"/>
      <c r="AM55" s="397"/>
      <c r="AN55" s="399"/>
      <c r="AQ55" s="98" t="s">
        <v>158</v>
      </c>
      <c r="AR55" s="99" t="s">
        <v>159</v>
      </c>
      <c r="AS55" s="101">
        <v>0.1</v>
      </c>
    </row>
    <row r="56" spans="1:45" ht="15" customHeight="1">
      <c r="A56" s="393"/>
      <c r="B56" s="394"/>
      <c r="C56" s="394"/>
      <c r="D56" s="394"/>
      <c r="E56" s="394"/>
      <c r="F56" s="394"/>
      <c r="G56" s="394"/>
      <c r="H56" s="394"/>
      <c r="I56" s="394"/>
      <c r="J56" s="394"/>
      <c r="K56" s="395"/>
      <c r="L56" s="396"/>
      <c r="M56" s="397"/>
      <c r="N56" s="398"/>
      <c r="O56" s="396"/>
      <c r="P56" s="397"/>
      <c r="Q56" s="397"/>
      <c r="R56" s="397"/>
      <c r="S56" s="398"/>
      <c r="T56" s="396"/>
      <c r="U56" s="397"/>
      <c r="V56" s="397"/>
      <c r="W56" s="397"/>
      <c r="X56" s="398"/>
      <c r="Y56" s="396"/>
      <c r="Z56" s="397"/>
      <c r="AA56" s="397"/>
      <c r="AB56" s="397"/>
      <c r="AC56" s="398"/>
      <c r="AD56" s="396"/>
      <c r="AE56" s="397"/>
      <c r="AF56" s="397"/>
      <c r="AG56" s="397"/>
      <c r="AH56" s="398"/>
      <c r="AI56" s="396"/>
      <c r="AJ56" s="397"/>
      <c r="AK56" s="397"/>
      <c r="AL56" s="397"/>
      <c r="AM56" s="397"/>
      <c r="AN56" s="399"/>
      <c r="AQ56" s="98" t="s">
        <v>160</v>
      </c>
      <c r="AR56" s="99" t="s">
        <v>161</v>
      </c>
      <c r="AS56" s="101">
        <v>0.05</v>
      </c>
    </row>
    <row r="57" spans="1:45" ht="15" customHeight="1">
      <c r="A57" s="393"/>
      <c r="B57" s="394"/>
      <c r="C57" s="394"/>
      <c r="D57" s="394"/>
      <c r="E57" s="394"/>
      <c r="F57" s="394"/>
      <c r="G57" s="394"/>
      <c r="H57" s="394"/>
      <c r="I57" s="394"/>
      <c r="J57" s="394"/>
      <c r="K57" s="395"/>
      <c r="L57" s="396"/>
      <c r="M57" s="397"/>
      <c r="N57" s="398"/>
      <c r="O57" s="396"/>
      <c r="P57" s="397"/>
      <c r="Q57" s="397"/>
      <c r="R57" s="397"/>
      <c r="S57" s="398"/>
      <c r="T57" s="396"/>
      <c r="U57" s="397"/>
      <c r="V57" s="397"/>
      <c r="W57" s="397"/>
      <c r="X57" s="398"/>
      <c r="Y57" s="396"/>
      <c r="Z57" s="397"/>
      <c r="AA57" s="397"/>
      <c r="AB57" s="397"/>
      <c r="AC57" s="398"/>
      <c r="AD57" s="396"/>
      <c r="AE57" s="397"/>
      <c r="AF57" s="397"/>
      <c r="AG57" s="397"/>
      <c r="AH57" s="398"/>
      <c r="AI57" s="396"/>
      <c r="AJ57" s="397"/>
      <c r="AK57" s="397"/>
      <c r="AL57" s="397"/>
      <c r="AM57" s="397"/>
      <c r="AN57" s="399"/>
      <c r="AQ57" s="98" t="s">
        <v>162</v>
      </c>
      <c r="AR57" s="99" t="s">
        <v>163</v>
      </c>
      <c r="AS57" s="101">
        <v>0.1</v>
      </c>
    </row>
    <row r="58" spans="1:45" ht="15" customHeight="1">
      <c r="A58" s="393"/>
      <c r="B58" s="394"/>
      <c r="C58" s="394"/>
      <c r="D58" s="394"/>
      <c r="E58" s="394"/>
      <c r="F58" s="394"/>
      <c r="G58" s="394"/>
      <c r="H58" s="394"/>
      <c r="I58" s="394"/>
      <c r="J58" s="394"/>
      <c r="K58" s="395"/>
      <c r="L58" s="396"/>
      <c r="M58" s="397"/>
      <c r="N58" s="398"/>
      <c r="O58" s="396"/>
      <c r="P58" s="397"/>
      <c r="Q58" s="397"/>
      <c r="R58" s="397"/>
      <c r="S58" s="398"/>
      <c r="T58" s="396"/>
      <c r="U58" s="397"/>
      <c r="V58" s="397"/>
      <c r="W58" s="397"/>
      <c r="X58" s="398"/>
      <c r="Y58" s="396"/>
      <c r="Z58" s="397"/>
      <c r="AA58" s="397"/>
      <c r="AB58" s="397"/>
      <c r="AC58" s="398"/>
      <c r="AD58" s="396"/>
      <c r="AE58" s="397"/>
      <c r="AF58" s="397"/>
      <c r="AG58" s="397"/>
      <c r="AH58" s="398"/>
      <c r="AI58" s="396"/>
      <c r="AJ58" s="397"/>
      <c r="AK58" s="397"/>
      <c r="AL58" s="397"/>
      <c r="AM58" s="397"/>
      <c r="AN58" s="399"/>
      <c r="AQ58" s="98" t="s">
        <v>164</v>
      </c>
      <c r="AR58" s="99" t="s">
        <v>165</v>
      </c>
      <c r="AS58" s="101">
        <v>0.05</v>
      </c>
    </row>
    <row r="59" spans="1:45" ht="15" customHeight="1">
      <c r="A59" s="393"/>
      <c r="B59" s="394"/>
      <c r="C59" s="394"/>
      <c r="D59" s="394"/>
      <c r="E59" s="394"/>
      <c r="F59" s="394"/>
      <c r="G59" s="394"/>
      <c r="H59" s="394"/>
      <c r="I59" s="394"/>
      <c r="J59" s="394"/>
      <c r="K59" s="395"/>
      <c r="L59" s="396"/>
      <c r="M59" s="397"/>
      <c r="N59" s="398"/>
      <c r="O59" s="396"/>
      <c r="P59" s="397"/>
      <c r="Q59" s="397"/>
      <c r="R59" s="397"/>
      <c r="S59" s="398"/>
      <c r="T59" s="396"/>
      <c r="U59" s="397"/>
      <c r="V59" s="397"/>
      <c r="W59" s="397"/>
      <c r="X59" s="398"/>
      <c r="Y59" s="396"/>
      <c r="Z59" s="397"/>
      <c r="AA59" s="397"/>
      <c r="AB59" s="397"/>
      <c r="AC59" s="398"/>
      <c r="AD59" s="396"/>
      <c r="AE59" s="397"/>
      <c r="AF59" s="397"/>
      <c r="AG59" s="397"/>
      <c r="AH59" s="398"/>
      <c r="AI59" s="396"/>
      <c r="AJ59" s="397"/>
      <c r="AK59" s="397"/>
      <c r="AL59" s="397"/>
      <c r="AM59" s="397"/>
      <c r="AN59" s="399"/>
      <c r="AQ59" s="98" t="s">
        <v>166</v>
      </c>
      <c r="AR59" s="99" t="s">
        <v>167</v>
      </c>
      <c r="AS59" s="101">
        <v>0.1</v>
      </c>
    </row>
    <row r="60" spans="1:45" ht="15" customHeight="1">
      <c r="A60" s="393"/>
      <c r="B60" s="394"/>
      <c r="C60" s="394"/>
      <c r="D60" s="394"/>
      <c r="E60" s="394"/>
      <c r="F60" s="394"/>
      <c r="G60" s="394"/>
      <c r="H60" s="394"/>
      <c r="I60" s="394"/>
      <c r="J60" s="394"/>
      <c r="K60" s="395"/>
      <c r="L60" s="396"/>
      <c r="M60" s="397"/>
      <c r="N60" s="398"/>
      <c r="O60" s="396"/>
      <c r="P60" s="397"/>
      <c r="Q60" s="397"/>
      <c r="R60" s="397"/>
      <c r="S60" s="398"/>
      <c r="T60" s="396"/>
      <c r="U60" s="397"/>
      <c r="V60" s="397"/>
      <c r="W60" s="397"/>
      <c r="X60" s="398"/>
      <c r="Y60" s="396"/>
      <c r="Z60" s="397"/>
      <c r="AA60" s="397"/>
      <c r="AB60" s="397"/>
      <c r="AC60" s="398"/>
      <c r="AD60" s="396"/>
      <c r="AE60" s="397"/>
      <c r="AF60" s="397"/>
      <c r="AG60" s="397"/>
      <c r="AH60" s="398"/>
      <c r="AI60" s="396"/>
      <c r="AJ60" s="397"/>
      <c r="AK60" s="397"/>
      <c r="AL60" s="397"/>
      <c r="AM60" s="397"/>
      <c r="AN60" s="399"/>
      <c r="AQ60" s="98" t="s">
        <v>168</v>
      </c>
      <c r="AR60" s="99" t="s">
        <v>169</v>
      </c>
      <c r="AS60" s="101">
        <v>0.05</v>
      </c>
    </row>
    <row r="61" spans="1:45" ht="15" customHeight="1">
      <c r="A61" s="401" t="s">
        <v>33</v>
      </c>
      <c r="B61" s="402"/>
      <c r="C61" s="402"/>
      <c r="D61" s="402"/>
      <c r="E61" s="402"/>
      <c r="F61" s="402"/>
      <c r="G61" s="402"/>
      <c r="H61" s="402"/>
      <c r="I61" s="402"/>
      <c r="J61" s="402"/>
      <c r="K61" s="403"/>
      <c r="L61" s="396"/>
      <c r="M61" s="397"/>
      <c r="N61" s="398"/>
      <c r="O61" s="396"/>
      <c r="P61" s="397"/>
      <c r="Q61" s="397"/>
      <c r="R61" s="397"/>
      <c r="S61" s="398"/>
      <c r="T61" s="396"/>
      <c r="U61" s="397"/>
      <c r="V61" s="397"/>
      <c r="W61" s="397"/>
      <c r="X61" s="398"/>
      <c r="Y61" s="396"/>
      <c r="Z61" s="397"/>
      <c r="AA61" s="397"/>
      <c r="AB61" s="397"/>
      <c r="AC61" s="398"/>
      <c r="AD61" s="396"/>
      <c r="AE61" s="397"/>
      <c r="AF61" s="397"/>
      <c r="AG61" s="397"/>
      <c r="AH61" s="398"/>
      <c r="AI61" s="396"/>
      <c r="AJ61" s="397"/>
      <c r="AK61" s="397"/>
      <c r="AL61" s="397"/>
      <c r="AM61" s="397"/>
      <c r="AN61" s="399"/>
      <c r="AQ61" s="98" t="s">
        <v>170</v>
      </c>
      <c r="AR61" s="99" t="s">
        <v>171</v>
      </c>
      <c r="AS61" s="101">
        <v>0.1</v>
      </c>
    </row>
    <row r="62" spans="1:45" ht="40.5" customHeight="1">
      <c r="A62" s="428" t="s">
        <v>37</v>
      </c>
      <c r="B62" s="429"/>
      <c r="C62" s="429"/>
      <c r="D62" s="429"/>
      <c r="E62" s="429"/>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430"/>
      <c r="AQ62" s="98" t="s">
        <v>172</v>
      </c>
      <c r="AR62" s="99" t="s">
        <v>173</v>
      </c>
      <c r="AS62" s="101">
        <v>0.05</v>
      </c>
    </row>
    <row r="63" spans="1:45" ht="10.5" customHeight="1">
      <c r="A63" s="431" t="s">
        <v>174</v>
      </c>
      <c r="B63" s="432"/>
      <c r="C63" s="432"/>
      <c r="D63" s="432"/>
      <c r="E63" s="432"/>
      <c r="F63" s="432"/>
      <c r="G63" s="432"/>
      <c r="H63" s="432"/>
      <c r="I63" s="432"/>
      <c r="J63" s="432"/>
      <c r="K63" s="432"/>
      <c r="L63" s="432"/>
      <c r="M63" s="432"/>
      <c r="N63" s="432"/>
      <c r="O63" s="432"/>
      <c r="P63" s="432"/>
      <c r="Q63" s="432"/>
      <c r="R63" s="432"/>
      <c r="S63" s="432"/>
      <c r="T63" s="432"/>
      <c r="U63" s="432"/>
      <c r="V63" s="432"/>
      <c r="W63" s="432"/>
      <c r="X63" s="432"/>
      <c r="Y63" s="432"/>
      <c r="Z63" s="432"/>
      <c r="AA63" s="432"/>
      <c r="AB63" s="432"/>
      <c r="AC63" s="432"/>
      <c r="AD63" s="432"/>
      <c r="AE63" s="432"/>
      <c r="AF63" s="432"/>
      <c r="AG63" s="432"/>
      <c r="AH63" s="432"/>
      <c r="AI63" s="432"/>
      <c r="AJ63" s="432"/>
      <c r="AK63" s="432"/>
      <c r="AL63" s="432"/>
      <c r="AM63" s="432"/>
      <c r="AN63" s="433"/>
      <c r="AQ63" s="98" t="s">
        <v>175</v>
      </c>
      <c r="AR63" s="99" t="s">
        <v>176</v>
      </c>
      <c r="AS63" s="101">
        <v>0.1</v>
      </c>
    </row>
    <row r="64" spans="1:45" ht="10.5" customHeight="1">
      <c r="A64" s="434"/>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6"/>
      <c r="AQ64" s="98" t="s">
        <v>177</v>
      </c>
      <c r="AR64" s="99" t="s">
        <v>178</v>
      </c>
      <c r="AS64" s="101">
        <v>0.05</v>
      </c>
    </row>
    <row r="65" spans="1:45" ht="10.5" customHeight="1">
      <c r="A65" s="437"/>
      <c r="B65" s="438"/>
      <c r="C65" s="438"/>
      <c r="D65" s="438"/>
      <c r="E65" s="438"/>
      <c r="F65" s="438"/>
      <c r="G65" s="438"/>
      <c r="H65" s="438"/>
      <c r="I65" s="438"/>
      <c r="J65" s="438"/>
      <c r="K65" s="438"/>
      <c r="L65" s="438"/>
      <c r="M65" s="438"/>
      <c r="N65" s="438"/>
      <c r="O65" s="438"/>
      <c r="P65" s="438"/>
      <c r="Q65" s="438"/>
      <c r="R65" s="438"/>
      <c r="S65" s="438"/>
      <c r="T65" s="438"/>
      <c r="U65" s="438"/>
      <c r="V65" s="438"/>
      <c r="W65" s="438"/>
      <c r="X65" s="438"/>
      <c r="Y65" s="438"/>
      <c r="Z65" s="438"/>
      <c r="AA65" s="438"/>
      <c r="AB65" s="438"/>
      <c r="AC65" s="438"/>
      <c r="AD65" s="438"/>
      <c r="AE65" s="438"/>
      <c r="AF65" s="438"/>
      <c r="AG65" s="438"/>
      <c r="AH65" s="438"/>
      <c r="AI65" s="438"/>
      <c r="AJ65" s="438"/>
      <c r="AK65" s="438"/>
      <c r="AL65" s="438"/>
      <c r="AM65" s="438"/>
      <c r="AN65" s="439"/>
      <c r="AQ65" s="98" t="s">
        <v>179</v>
      </c>
      <c r="AR65" s="99" t="s">
        <v>180</v>
      </c>
      <c r="AS65" s="101">
        <v>0.1</v>
      </c>
    </row>
    <row r="66" spans="1:45" ht="10.5" customHeight="1">
      <c r="A66" s="404" t="s">
        <v>39</v>
      </c>
      <c r="B66" s="405"/>
      <c r="C66" s="405"/>
      <c r="D66" s="405"/>
      <c r="E66" s="405"/>
      <c r="F66" s="405"/>
      <c r="G66" s="405"/>
      <c r="H66" s="405"/>
      <c r="I66" s="405"/>
      <c r="J66" s="405"/>
      <c r="K66" s="405"/>
      <c r="L66" s="405"/>
      <c r="M66" s="405"/>
      <c r="N66" s="405"/>
      <c r="O66" s="405"/>
      <c r="P66" s="405"/>
      <c r="Q66" s="405"/>
      <c r="R66" s="405"/>
      <c r="S66" s="405"/>
      <c r="T66" s="405"/>
      <c r="U66" s="405"/>
      <c r="V66" s="405"/>
      <c r="W66" s="405"/>
      <c r="X66" s="405"/>
      <c r="Y66" s="405"/>
      <c r="Z66" s="405"/>
      <c r="AA66" s="405"/>
      <c r="AB66" s="405"/>
      <c r="AC66" s="405"/>
      <c r="AD66" s="405"/>
      <c r="AE66" s="405"/>
      <c r="AF66" s="405"/>
      <c r="AG66" s="405"/>
      <c r="AH66" s="405"/>
      <c r="AI66" s="405"/>
      <c r="AJ66" s="405"/>
      <c r="AK66" s="405"/>
      <c r="AL66" s="405"/>
      <c r="AM66" s="405"/>
      <c r="AN66" s="406"/>
      <c r="AQ66" s="98" t="s">
        <v>181</v>
      </c>
      <c r="AR66" s="99" t="s">
        <v>182</v>
      </c>
      <c r="AS66" s="101">
        <v>0.05</v>
      </c>
    </row>
    <row r="67" spans="1:45" ht="10.5" customHeight="1">
      <c r="A67" s="413" t="s">
        <v>40</v>
      </c>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5"/>
      <c r="AQ67" s="98" t="s">
        <v>183</v>
      </c>
      <c r="AR67" s="99" t="s">
        <v>87</v>
      </c>
      <c r="AS67" s="101">
        <v>0.05</v>
      </c>
    </row>
    <row r="68" spans="1:45" ht="11.25" customHeight="1">
      <c r="A68" s="416" t="s">
        <v>41</v>
      </c>
      <c r="B68" s="417"/>
      <c r="C68" s="417"/>
      <c r="D68" s="417"/>
      <c r="E68" s="417"/>
      <c r="F68" s="417"/>
      <c r="G68" s="417"/>
      <c r="H68" s="417"/>
      <c r="I68" s="32"/>
      <c r="J68" s="32"/>
      <c r="K68" s="32"/>
      <c r="L68" s="32"/>
      <c r="M68" s="32"/>
      <c r="N68" s="32"/>
      <c r="O68" s="32"/>
      <c r="P68" s="32"/>
      <c r="Q68" s="37"/>
      <c r="R68" s="418" t="s">
        <v>42</v>
      </c>
      <c r="S68" s="418"/>
      <c r="T68" s="418"/>
      <c r="U68" s="418"/>
      <c r="V68" s="32"/>
      <c r="W68" s="32"/>
      <c r="X68" s="32"/>
      <c r="Y68" s="32"/>
      <c r="Z68" s="32"/>
      <c r="AA68" s="32"/>
      <c r="AB68" s="32"/>
      <c r="AC68" s="420" t="s">
        <v>43</v>
      </c>
      <c r="AD68" s="420"/>
      <c r="AE68" s="420"/>
      <c r="AF68" s="420"/>
      <c r="AG68" s="420"/>
      <c r="AH68" s="32"/>
      <c r="AI68" s="32"/>
      <c r="AJ68" s="32"/>
      <c r="AK68" s="32"/>
      <c r="AL68" s="32"/>
      <c r="AM68" s="32"/>
      <c r="AN68" s="34"/>
      <c r="AQ68" s="98" t="s">
        <v>184</v>
      </c>
      <c r="AR68" s="99" t="s">
        <v>89</v>
      </c>
      <c r="AS68" s="101">
        <v>0.02</v>
      </c>
    </row>
    <row r="69" spans="1:45" ht="11.25" customHeight="1" thickBot="1">
      <c r="A69" s="425" t="s">
        <v>44</v>
      </c>
      <c r="B69" s="426"/>
      <c r="C69" s="426"/>
      <c r="D69" s="426"/>
      <c r="E69" s="426"/>
      <c r="F69" s="426"/>
      <c r="G69" s="426"/>
      <c r="H69" s="426"/>
      <c r="R69" s="427"/>
      <c r="S69" s="427"/>
      <c r="T69" s="427"/>
      <c r="U69" s="427"/>
      <c r="AC69" s="424" t="s">
        <v>7</v>
      </c>
      <c r="AD69" s="424"/>
      <c r="AE69" s="424"/>
      <c r="AF69" s="424"/>
      <c r="AG69" s="424"/>
      <c r="AN69" s="18"/>
      <c r="AQ69" s="98" t="s">
        <v>185</v>
      </c>
      <c r="AR69" s="99" t="s">
        <v>186</v>
      </c>
      <c r="AS69" s="101">
        <v>0.15</v>
      </c>
    </row>
    <row r="70" spans="1:45" ht="10.5" customHeight="1" thickBot="1">
      <c r="A70" s="338" t="s">
        <v>45</v>
      </c>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40"/>
      <c r="AQ70" s="98" t="s">
        <v>187</v>
      </c>
      <c r="AR70" s="99" t="s">
        <v>188</v>
      </c>
      <c r="AS70" s="101">
        <v>0.05</v>
      </c>
    </row>
    <row r="71" spans="1:45" ht="10.5" customHeight="1">
      <c r="A71" s="404"/>
      <c r="B71" s="405"/>
      <c r="C71" s="405"/>
      <c r="D71" s="405"/>
      <c r="E71" s="405"/>
      <c r="F71" s="405"/>
      <c r="G71" s="405"/>
      <c r="H71" s="405"/>
      <c r="I71" s="405"/>
      <c r="J71" s="405"/>
      <c r="K71" s="405"/>
      <c r="L71" s="405"/>
      <c r="M71" s="405"/>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6"/>
      <c r="AQ71" s="98" t="s">
        <v>189</v>
      </c>
      <c r="AR71" s="99" t="s">
        <v>190</v>
      </c>
      <c r="AS71" s="101">
        <v>0.1</v>
      </c>
    </row>
    <row r="72" spans="1:45" ht="10.5" customHeight="1">
      <c r="A72" s="407"/>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c r="AF72" s="408"/>
      <c r="AG72" s="408"/>
      <c r="AH72" s="408"/>
      <c r="AI72" s="408"/>
      <c r="AJ72" s="408"/>
      <c r="AK72" s="408"/>
      <c r="AL72" s="408"/>
      <c r="AM72" s="408"/>
      <c r="AN72" s="409"/>
      <c r="AQ72" s="98" t="s">
        <v>191</v>
      </c>
      <c r="AR72" s="99" t="s">
        <v>192</v>
      </c>
      <c r="AS72" s="101">
        <v>0.1</v>
      </c>
    </row>
    <row r="73" spans="1:45" ht="10.5" customHeight="1">
      <c r="A73" s="410"/>
      <c r="B73" s="411"/>
      <c r="C73" s="411"/>
      <c r="D73" s="411"/>
      <c r="E73" s="411"/>
      <c r="F73" s="411"/>
      <c r="G73" s="411"/>
      <c r="H73" s="411"/>
      <c r="I73" s="411"/>
      <c r="J73" s="411"/>
      <c r="K73" s="411"/>
      <c r="L73" s="411"/>
      <c r="M73" s="411"/>
      <c r="N73" s="411"/>
      <c r="O73" s="411"/>
      <c r="P73" s="411"/>
      <c r="Q73" s="411"/>
      <c r="R73" s="411"/>
      <c r="S73" s="411"/>
      <c r="T73" s="411"/>
      <c r="U73" s="411"/>
      <c r="V73" s="411"/>
      <c r="W73" s="411"/>
      <c r="X73" s="411"/>
      <c r="Y73" s="411"/>
      <c r="Z73" s="411"/>
      <c r="AA73" s="411"/>
      <c r="AB73" s="411"/>
      <c r="AC73" s="411"/>
      <c r="AD73" s="411"/>
      <c r="AE73" s="411"/>
      <c r="AF73" s="411"/>
      <c r="AG73" s="411"/>
      <c r="AH73" s="411"/>
      <c r="AI73" s="411"/>
      <c r="AJ73" s="411"/>
      <c r="AK73" s="411"/>
      <c r="AL73" s="411"/>
      <c r="AM73" s="411"/>
      <c r="AN73" s="412"/>
      <c r="AQ73" s="98" t="s">
        <v>193</v>
      </c>
      <c r="AR73" s="99" t="s">
        <v>194</v>
      </c>
      <c r="AS73" s="101">
        <v>0.05</v>
      </c>
    </row>
    <row r="74" spans="1:45" ht="10.5" customHeight="1">
      <c r="A74" s="404" t="s">
        <v>46</v>
      </c>
      <c r="B74" s="405"/>
      <c r="C74" s="405"/>
      <c r="D74" s="405"/>
      <c r="E74" s="405"/>
      <c r="F74" s="405"/>
      <c r="G74" s="405"/>
      <c r="H74" s="405"/>
      <c r="I74" s="405"/>
      <c r="J74" s="405"/>
      <c r="K74" s="405"/>
      <c r="L74" s="405"/>
      <c r="M74" s="405"/>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6"/>
      <c r="AQ74" s="98" t="s">
        <v>195</v>
      </c>
      <c r="AR74" s="99" t="s">
        <v>196</v>
      </c>
      <c r="AS74" s="101">
        <v>0.1</v>
      </c>
    </row>
    <row r="75" spans="1:45" ht="10.5" customHeight="1">
      <c r="A75" s="413" t="s">
        <v>40</v>
      </c>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5"/>
      <c r="AQ75" s="98" t="s">
        <v>197</v>
      </c>
      <c r="AR75" s="99" t="s">
        <v>198</v>
      </c>
      <c r="AS75" s="101">
        <v>0.15</v>
      </c>
    </row>
    <row r="76" spans="1:45" ht="11.25" customHeight="1">
      <c r="A76" s="416" t="s">
        <v>41</v>
      </c>
      <c r="B76" s="417"/>
      <c r="C76" s="417"/>
      <c r="D76" s="417"/>
      <c r="E76" s="417"/>
      <c r="F76" s="417"/>
      <c r="G76" s="417"/>
      <c r="H76" s="417"/>
      <c r="I76" s="32"/>
      <c r="J76" s="32"/>
      <c r="K76" s="32"/>
      <c r="L76" s="32"/>
      <c r="M76" s="32"/>
      <c r="N76" s="32"/>
      <c r="O76" s="32"/>
      <c r="P76" s="32"/>
      <c r="Q76" s="37"/>
      <c r="R76" s="418" t="s">
        <v>42</v>
      </c>
      <c r="S76" s="418"/>
      <c r="T76" s="418"/>
      <c r="U76" s="418"/>
      <c r="V76" s="32"/>
      <c r="W76" s="32"/>
      <c r="X76" s="32"/>
      <c r="Y76" s="32"/>
      <c r="Z76" s="32"/>
      <c r="AA76" s="32"/>
      <c r="AB76" s="32"/>
      <c r="AC76" s="420" t="s">
        <v>43</v>
      </c>
      <c r="AD76" s="420"/>
      <c r="AE76" s="420"/>
      <c r="AF76" s="420"/>
      <c r="AG76" s="420"/>
      <c r="AH76" s="32"/>
      <c r="AI76" s="32"/>
      <c r="AJ76" s="32"/>
      <c r="AK76" s="32"/>
      <c r="AL76" s="32"/>
      <c r="AM76" s="32"/>
      <c r="AN76" s="34"/>
      <c r="AQ76" s="98" t="s">
        <v>199</v>
      </c>
      <c r="AR76" s="99" t="s">
        <v>99</v>
      </c>
      <c r="AS76" s="101">
        <v>5.0000000000000001E-3</v>
      </c>
    </row>
    <row r="77" spans="1:45" ht="11.25" customHeight="1" thickBot="1">
      <c r="A77" s="421" t="s">
        <v>44</v>
      </c>
      <c r="B77" s="422"/>
      <c r="C77" s="422"/>
      <c r="D77" s="422"/>
      <c r="E77" s="422"/>
      <c r="F77" s="422"/>
      <c r="G77" s="422"/>
      <c r="H77" s="422"/>
      <c r="I77" s="15"/>
      <c r="J77" s="15"/>
      <c r="K77" s="15"/>
      <c r="L77" s="15"/>
      <c r="M77" s="15"/>
      <c r="N77" s="15"/>
      <c r="O77" s="15"/>
      <c r="P77" s="15"/>
      <c r="Q77" s="15"/>
      <c r="R77" s="419"/>
      <c r="S77" s="419"/>
      <c r="T77" s="419"/>
      <c r="U77" s="419"/>
      <c r="V77" s="15"/>
      <c r="W77" s="15"/>
      <c r="X77" s="15"/>
      <c r="Y77" s="15"/>
      <c r="Z77" s="15"/>
      <c r="AA77" s="15"/>
      <c r="AB77" s="15"/>
      <c r="AC77" s="423" t="s">
        <v>7</v>
      </c>
      <c r="AD77" s="423"/>
      <c r="AE77" s="423"/>
      <c r="AF77" s="423"/>
      <c r="AG77" s="423"/>
      <c r="AH77" s="15"/>
      <c r="AI77" s="15"/>
      <c r="AJ77" s="15"/>
      <c r="AK77" s="15"/>
      <c r="AL77" s="15"/>
      <c r="AM77" s="15"/>
      <c r="AN77" s="30"/>
      <c r="AQ77" s="98" t="s">
        <v>200</v>
      </c>
      <c r="AR77" s="99" t="s">
        <v>101</v>
      </c>
      <c r="AS77" s="101">
        <v>0.02</v>
      </c>
    </row>
    <row r="78" spans="1:45" ht="11.25" customHeight="1">
      <c r="A78" s="1" t="s">
        <v>47</v>
      </c>
      <c r="B78"/>
      <c r="C78"/>
      <c r="D78"/>
      <c r="E78"/>
      <c r="F78"/>
      <c r="G78"/>
      <c r="H78"/>
      <c r="I78"/>
      <c r="J78"/>
      <c r="K78"/>
      <c r="L78"/>
      <c r="M78"/>
      <c r="N78"/>
      <c r="O78"/>
      <c r="P78"/>
      <c r="Q78"/>
      <c r="R78"/>
      <c r="S78"/>
      <c r="T78"/>
      <c r="U78"/>
      <c r="V78"/>
      <c r="W78"/>
      <c r="X78"/>
      <c r="Z78"/>
      <c r="AA78"/>
      <c r="AB78"/>
      <c r="AC78"/>
      <c r="AD78"/>
      <c r="AE78"/>
      <c r="AF78"/>
      <c r="AG78"/>
      <c r="AH78"/>
      <c r="AI78"/>
      <c r="AJ78"/>
      <c r="AK78"/>
      <c r="AL78"/>
      <c r="AM78"/>
      <c r="AN78"/>
      <c r="AQ78" s="98" t="s">
        <v>201</v>
      </c>
      <c r="AR78" s="99" t="s">
        <v>103</v>
      </c>
      <c r="AS78" s="101">
        <v>0.01</v>
      </c>
    </row>
    <row r="79" spans="1:45" ht="11.25" customHeight="1">
      <c r="B79"/>
      <c r="C79"/>
      <c r="D79"/>
      <c r="E79"/>
      <c r="F79"/>
      <c r="G79"/>
      <c r="H79"/>
      <c r="I79"/>
      <c r="J79"/>
      <c r="K79"/>
      <c r="L79"/>
      <c r="M79"/>
      <c r="N79"/>
      <c r="O79"/>
      <c r="P79"/>
      <c r="Q79"/>
      <c r="R79"/>
      <c r="S79"/>
      <c r="T79"/>
      <c r="U79"/>
      <c r="V79"/>
      <c r="W79"/>
      <c r="X79"/>
      <c r="Z79"/>
      <c r="AA79"/>
      <c r="AB79"/>
      <c r="AC79"/>
      <c r="AD79"/>
      <c r="AE79"/>
      <c r="AF79"/>
      <c r="AG79"/>
      <c r="AH79"/>
      <c r="AI79"/>
      <c r="AJ79"/>
      <c r="AK79"/>
      <c r="AL79"/>
      <c r="AM79"/>
      <c r="AN79"/>
      <c r="AQ79" s="98" t="s">
        <v>202</v>
      </c>
      <c r="AR79" s="99" t="s">
        <v>203</v>
      </c>
      <c r="AS79" s="101">
        <v>0.15</v>
      </c>
    </row>
    <row r="80" spans="1:45" ht="11.25" customHeight="1">
      <c r="AQ80" s="98" t="s">
        <v>204</v>
      </c>
      <c r="AR80" s="99" t="s">
        <v>104</v>
      </c>
      <c r="AS80" s="101">
        <v>0.02</v>
      </c>
    </row>
    <row r="81" spans="43:45" ht="11.25" customHeight="1">
      <c r="AQ81" s="98" t="s">
        <v>205</v>
      </c>
      <c r="AR81" s="99" t="s">
        <v>206</v>
      </c>
      <c r="AS81" s="101">
        <v>0.05</v>
      </c>
    </row>
    <row r="82" spans="43:45" ht="11.25" customHeight="1">
      <c r="AQ82" s="98" t="s">
        <v>207</v>
      </c>
      <c r="AR82" s="99" t="s">
        <v>208</v>
      </c>
      <c r="AS82" s="101">
        <v>0.1</v>
      </c>
    </row>
    <row r="83" spans="43:45" ht="11.25" customHeight="1">
      <c r="AQ83" s="98" t="s">
        <v>209</v>
      </c>
      <c r="AR83" s="99" t="s">
        <v>210</v>
      </c>
      <c r="AS83" s="101">
        <v>0.01</v>
      </c>
    </row>
    <row r="84" spans="43:45" ht="11.25" customHeight="1">
      <c r="AQ84" s="98" t="s">
        <v>211</v>
      </c>
      <c r="AR84" s="99" t="s">
        <v>110</v>
      </c>
      <c r="AS84" s="101">
        <v>0.01</v>
      </c>
    </row>
    <row r="85" spans="43:45" ht="11.25" customHeight="1">
      <c r="AQ85" s="98" t="s">
        <v>212</v>
      </c>
      <c r="AR85" s="99" t="s">
        <v>112</v>
      </c>
      <c r="AS85" s="101">
        <v>0.05</v>
      </c>
    </row>
    <row r="86" spans="43:45" ht="11.25" customHeight="1">
      <c r="AQ86" s="98" t="s">
        <v>213</v>
      </c>
      <c r="AR86" s="99" t="s">
        <v>114</v>
      </c>
      <c r="AS86" s="101">
        <v>0.01</v>
      </c>
    </row>
    <row r="87" spans="43:45" ht="11.25" customHeight="1">
      <c r="AQ87" s="98" t="s">
        <v>214</v>
      </c>
      <c r="AR87" s="99" t="s">
        <v>116</v>
      </c>
      <c r="AS87" s="101">
        <v>0.05</v>
      </c>
    </row>
    <row r="88" spans="43:45" ht="11.25" customHeight="1">
      <c r="AQ88" s="98" t="s">
        <v>215</v>
      </c>
      <c r="AR88" s="99" t="s">
        <v>118</v>
      </c>
      <c r="AS88" s="101">
        <v>0.01</v>
      </c>
    </row>
    <row r="89" spans="43:45" ht="11.25" customHeight="1">
      <c r="AQ89" s="98" t="s">
        <v>216</v>
      </c>
      <c r="AR89" s="99" t="s">
        <v>120</v>
      </c>
      <c r="AS89" s="101">
        <v>0.01</v>
      </c>
    </row>
    <row r="90" spans="43:45" ht="11.25" customHeight="1">
      <c r="AQ90" s="98" t="s">
        <v>217</v>
      </c>
      <c r="AR90" s="99" t="s">
        <v>123</v>
      </c>
      <c r="AS90" s="101">
        <v>0.25</v>
      </c>
    </row>
    <row r="91" spans="43:45" ht="11.25" customHeight="1">
      <c r="AQ91" s="98" t="s">
        <v>218</v>
      </c>
      <c r="AR91" s="99" t="s">
        <v>125</v>
      </c>
      <c r="AS91" s="101">
        <v>0.32</v>
      </c>
    </row>
    <row r="92" spans="43:45" ht="11.25" customHeight="1">
      <c r="AQ92" s="98" t="s">
        <v>219</v>
      </c>
      <c r="AR92" s="99" t="s">
        <v>127</v>
      </c>
      <c r="AS92" s="101">
        <v>0.1</v>
      </c>
    </row>
    <row r="93" spans="43:45" ht="11.25" customHeight="1">
      <c r="AQ93" s="98" t="s">
        <v>220</v>
      </c>
      <c r="AR93" s="99" t="s">
        <v>129</v>
      </c>
      <c r="AS93" s="101">
        <v>0.1</v>
      </c>
    </row>
    <row r="94" spans="43:45" ht="11.25" customHeight="1">
      <c r="AQ94" s="98" t="s">
        <v>221</v>
      </c>
      <c r="AR94" s="99" t="s">
        <v>132</v>
      </c>
      <c r="AS94" s="101">
        <v>0.1</v>
      </c>
    </row>
    <row r="95" spans="43:45" ht="11.25" customHeight="1">
      <c r="AQ95" s="98" t="s">
        <v>222</v>
      </c>
      <c r="AR95" s="99" t="s">
        <v>223</v>
      </c>
      <c r="AS95" s="101">
        <v>0.2</v>
      </c>
    </row>
    <row r="96" spans="43:45" ht="11.25" customHeight="1">
      <c r="AQ96" s="98" t="s">
        <v>224</v>
      </c>
      <c r="AR96" s="99" t="s">
        <v>137</v>
      </c>
      <c r="AS96" s="101">
        <v>0.05</v>
      </c>
    </row>
    <row r="97" spans="43:45" ht="11.25" customHeight="1">
      <c r="AQ97" s="98" t="s">
        <v>225</v>
      </c>
      <c r="AR97" s="99" t="s">
        <v>141</v>
      </c>
      <c r="AS97" s="101">
        <v>0.2</v>
      </c>
    </row>
    <row r="98" spans="43:45" ht="11.25" customHeight="1">
      <c r="AQ98" s="98" t="s">
        <v>226</v>
      </c>
      <c r="AR98" s="99" t="s">
        <v>143</v>
      </c>
      <c r="AS98" s="101">
        <v>0.01</v>
      </c>
    </row>
    <row r="99" spans="43:45" ht="11.25" customHeight="1"/>
    <row r="100" spans="43:45" ht="11.25" customHeight="1"/>
    <row r="101" spans="43:45" ht="11.25" customHeight="1"/>
    <row r="102" spans="43:45" ht="13.5" customHeight="1"/>
    <row r="103" spans="43:45" ht="13.5" customHeight="1"/>
    <row r="104" spans="43:45" ht="13.5" customHeight="1"/>
    <row r="105" spans="43:45" ht="13.5" customHeight="1"/>
    <row r="106" spans="43:45" ht="13.5" customHeight="1"/>
    <row r="107" spans="43:45" ht="13.5" customHeight="1"/>
  </sheetData>
  <autoFilter ref="A1:AY222" xr:uid="{00000000-0009-0000-0000-000000000000}"/>
  <mergeCells count="197">
    <mergeCell ref="A43:K43"/>
    <mergeCell ref="A70:AN70"/>
    <mergeCell ref="A71:AN73"/>
    <mergeCell ref="A74:AN74"/>
    <mergeCell ref="A75:AN75"/>
    <mergeCell ref="A76:H76"/>
    <mergeCell ref="R76:U77"/>
    <mergeCell ref="AC76:AG76"/>
    <mergeCell ref="A77:H77"/>
    <mergeCell ref="AC77:AG77"/>
    <mergeCell ref="AC68:AG68"/>
    <mergeCell ref="AC69:AG69"/>
    <mergeCell ref="A68:H68"/>
    <mergeCell ref="A69:H69"/>
    <mergeCell ref="R68:U69"/>
    <mergeCell ref="A62:AN62"/>
    <mergeCell ref="A63:AN65"/>
    <mergeCell ref="A66:AN66"/>
    <mergeCell ref="A67:AN67"/>
    <mergeCell ref="AD46:AH46"/>
    <mergeCell ref="AI46:AN46"/>
    <mergeCell ref="A61:K61"/>
    <mergeCell ref="L61:N61"/>
    <mergeCell ref="O61:S61"/>
    <mergeCell ref="T61:X61"/>
    <mergeCell ref="Y61:AC61"/>
    <mergeCell ref="AD61:AH61"/>
    <mergeCell ref="AI61:AN61"/>
    <mergeCell ref="A59:K59"/>
    <mergeCell ref="L59:N59"/>
    <mergeCell ref="O59:S59"/>
    <mergeCell ref="T59:X59"/>
    <mergeCell ref="Y59:AC59"/>
    <mergeCell ref="AD59:AH59"/>
    <mergeCell ref="AI59:AN59"/>
    <mergeCell ref="A46:K46"/>
    <mergeCell ref="L46:N46"/>
    <mergeCell ref="O46:S46"/>
    <mergeCell ref="T46:X46"/>
    <mergeCell ref="Y46:AC46"/>
    <mergeCell ref="AD58:AH58"/>
    <mergeCell ref="AI58:AN58"/>
    <mergeCell ref="A60:K60"/>
    <mergeCell ref="L60:N60"/>
    <mergeCell ref="O60:S60"/>
    <mergeCell ref="T60:X60"/>
    <mergeCell ref="Y60:AC60"/>
    <mergeCell ref="AD60:AH60"/>
    <mergeCell ref="AI60:AN60"/>
    <mergeCell ref="A58:K58"/>
    <mergeCell ref="L58:N58"/>
    <mergeCell ref="O58:S58"/>
    <mergeCell ref="T58:X58"/>
    <mergeCell ref="Y58:AC58"/>
    <mergeCell ref="AD56:AH56"/>
    <mergeCell ref="AI56:AN56"/>
    <mergeCell ref="A57:K57"/>
    <mergeCell ref="L57:N57"/>
    <mergeCell ref="O57:S57"/>
    <mergeCell ref="T57:X57"/>
    <mergeCell ref="Y57:AC57"/>
    <mergeCell ref="AD57:AH57"/>
    <mergeCell ref="AI57:AN57"/>
    <mergeCell ref="A56:K56"/>
    <mergeCell ref="L56:N56"/>
    <mergeCell ref="O56:S56"/>
    <mergeCell ref="T56:X56"/>
    <mergeCell ref="Y56:AC56"/>
    <mergeCell ref="AD54:AH54"/>
    <mergeCell ref="AI54:AN54"/>
    <mergeCell ref="A55:K55"/>
    <mergeCell ref="L55:N55"/>
    <mergeCell ref="O55:S55"/>
    <mergeCell ref="T55:X55"/>
    <mergeCell ref="Y55:AC55"/>
    <mergeCell ref="AD55:AH55"/>
    <mergeCell ref="AI55:AN55"/>
    <mergeCell ref="A54:K54"/>
    <mergeCell ref="L54:N54"/>
    <mergeCell ref="O54:S54"/>
    <mergeCell ref="T54:X54"/>
    <mergeCell ref="Y54:AC54"/>
    <mergeCell ref="AD52:AH52"/>
    <mergeCell ref="AI52:AN52"/>
    <mergeCell ref="A53:K53"/>
    <mergeCell ref="L53:N53"/>
    <mergeCell ref="O53:S53"/>
    <mergeCell ref="T53:X53"/>
    <mergeCell ref="Y53:AC53"/>
    <mergeCell ref="AD53:AH53"/>
    <mergeCell ref="AI53:AN53"/>
    <mergeCell ref="A52:K52"/>
    <mergeCell ref="L52:N52"/>
    <mergeCell ref="O52:S52"/>
    <mergeCell ref="T52:X52"/>
    <mergeCell ref="Y52:AC52"/>
    <mergeCell ref="T47:X47"/>
    <mergeCell ref="Y47:AC47"/>
    <mergeCell ref="AD47:AH47"/>
    <mergeCell ref="AI47:AN47"/>
    <mergeCell ref="A51:K51"/>
    <mergeCell ref="L51:N51"/>
    <mergeCell ref="O51:S51"/>
    <mergeCell ref="T51:X51"/>
    <mergeCell ref="Y51:AC51"/>
    <mergeCell ref="AD51:AH51"/>
    <mergeCell ref="AI51:AN51"/>
    <mergeCell ref="A49:K50"/>
    <mergeCell ref="A47:K47"/>
    <mergeCell ref="L47:N47"/>
    <mergeCell ref="O47:S47"/>
    <mergeCell ref="A48:K48"/>
    <mergeCell ref="L48:N48"/>
    <mergeCell ref="O48:S48"/>
    <mergeCell ref="T48:X48"/>
    <mergeCell ref="Y48:AC48"/>
    <mergeCell ref="AD48:AH48"/>
    <mergeCell ref="AI48:AN48"/>
    <mergeCell ref="A45:K45"/>
    <mergeCell ref="L45:N45"/>
    <mergeCell ref="O45:S45"/>
    <mergeCell ref="T45:X45"/>
    <mergeCell ref="Y45:AC45"/>
    <mergeCell ref="AD45:AH45"/>
    <mergeCell ref="AI45:AN45"/>
    <mergeCell ref="A44:K44"/>
    <mergeCell ref="L44:N44"/>
    <mergeCell ref="O44:S44"/>
    <mergeCell ref="L43:N43"/>
    <mergeCell ref="O43:S43"/>
    <mergeCell ref="T43:X43"/>
    <mergeCell ref="Y43:AC43"/>
    <mergeCell ref="AD43:AH43"/>
    <mergeCell ref="AI43:AN43"/>
    <mergeCell ref="T44:X44"/>
    <mergeCell ref="Y44:AC44"/>
    <mergeCell ref="AD44:AH44"/>
    <mergeCell ref="AI44:AN44"/>
    <mergeCell ref="L42:N42"/>
    <mergeCell ref="O42:S42"/>
    <mergeCell ref="A42:K42"/>
    <mergeCell ref="AD40:AH40"/>
    <mergeCell ref="AI40:AN40"/>
    <mergeCell ref="L41:N41"/>
    <mergeCell ref="O41:S41"/>
    <mergeCell ref="T41:X41"/>
    <mergeCell ref="Y41:AC41"/>
    <mergeCell ref="AD41:AH41"/>
    <mergeCell ref="AI41:AN41"/>
    <mergeCell ref="T42:X42"/>
    <mergeCell ref="Y42:AC42"/>
    <mergeCell ref="AD42:AH42"/>
    <mergeCell ref="AI42:AN42"/>
    <mergeCell ref="A38:K41"/>
    <mergeCell ref="AD38:AH38"/>
    <mergeCell ref="AI38:AN38"/>
    <mergeCell ref="T39:X39"/>
    <mergeCell ref="Y39:AC39"/>
    <mergeCell ref="AD39:AH39"/>
    <mergeCell ref="AI39:AN39"/>
    <mergeCell ref="T40:X40"/>
    <mergeCell ref="Y40:AC40"/>
    <mergeCell ref="L38:N38"/>
    <mergeCell ref="O38:S38"/>
    <mergeCell ref="T38:X38"/>
    <mergeCell ref="Y38:AC38"/>
    <mergeCell ref="L39:N39"/>
    <mergeCell ref="O39:S39"/>
    <mergeCell ref="L40:N40"/>
    <mergeCell ref="O40:S40"/>
    <mergeCell ref="A26:A27"/>
    <mergeCell ref="B26:M27"/>
    <mergeCell ref="A34:AN34"/>
    <mergeCell ref="AI35:AN37"/>
    <mergeCell ref="L35:N37"/>
    <mergeCell ref="A35:K37"/>
    <mergeCell ref="O35:AH35"/>
    <mergeCell ref="O36:S37"/>
    <mergeCell ref="T36:X37"/>
    <mergeCell ref="Y36:AC37"/>
    <mergeCell ref="AD36:AH37"/>
    <mergeCell ref="L5:AB9"/>
    <mergeCell ref="B11:E12"/>
    <mergeCell ref="A11:A12"/>
    <mergeCell ref="A14:A15"/>
    <mergeCell ref="B14:M15"/>
    <mergeCell ref="A25:AN25"/>
    <mergeCell ref="H2:AG2"/>
    <mergeCell ref="H3:AG3"/>
    <mergeCell ref="H4:AG4"/>
    <mergeCell ref="AH2:AN2"/>
    <mergeCell ref="AH3:AN3"/>
    <mergeCell ref="AI11:AN12"/>
    <mergeCell ref="Y11:AA12"/>
    <mergeCell ref="H11:I12"/>
    <mergeCell ref="R11:U12"/>
    <mergeCell ref="A13:AN13"/>
  </mergeCells>
  <printOptions horizontalCentered="1"/>
  <pageMargins left="0.25" right="0" top="0.15" bottom="0" header="0.3" footer="0.3"/>
  <pageSetup paperSize="9" scale="85"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AN143"/>
  <sheetViews>
    <sheetView view="pageBreakPreview" topLeftCell="A19" zoomScale="140" zoomScaleNormal="145" zoomScaleSheetLayoutView="140" workbookViewId="0">
      <selection activeCell="L38" sqref="L38:N38"/>
    </sheetView>
  </sheetViews>
  <sheetFormatPr defaultColWidth="9.109375" defaultRowHeight="10.199999999999999"/>
  <cols>
    <col min="1" max="19" width="2.6640625" style="1" customWidth="1"/>
    <col min="20" max="20" width="3.109375" style="1" customWidth="1"/>
    <col min="21" max="51" width="2.6640625" style="1" customWidth="1"/>
    <col min="52" max="16384" width="9.109375" style="1"/>
  </cols>
  <sheetData>
    <row r="1" spans="1:40" ht="11.25" customHeight="1">
      <c r="B1"/>
      <c r="C1"/>
      <c r="D1"/>
      <c r="E1"/>
      <c r="F1"/>
      <c r="G1"/>
      <c r="H1"/>
      <c r="I1"/>
      <c r="J1"/>
      <c r="K1"/>
      <c r="L1"/>
      <c r="M1"/>
      <c r="N1"/>
      <c r="O1"/>
      <c r="P1"/>
      <c r="Q1"/>
      <c r="R1"/>
      <c r="S1"/>
      <c r="T1"/>
      <c r="U1"/>
      <c r="V1"/>
      <c r="W1"/>
      <c r="X1"/>
      <c r="Z1"/>
      <c r="AA1"/>
      <c r="AB1"/>
      <c r="AC1"/>
      <c r="AD1"/>
      <c r="AE1"/>
      <c r="AF1"/>
      <c r="AG1"/>
      <c r="AH1"/>
      <c r="AI1"/>
      <c r="AJ1"/>
      <c r="AK1"/>
      <c r="AL1"/>
      <c r="AM1"/>
      <c r="AN1"/>
    </row>
    <row r="2" spans="1:40" ht="11.25" customHeight="1"/>
    <row r="3" spans="1:40" ht="11.25" customHeight="1" thickBot="1"/>
    <row r="4" spans="1:40" ht="11.25" customHeight="1" thickBot="1">
      <c r="A4" s="440" t="s">
        <v>228</v>
      </c>
      <c r="B4" s="441"/>
      <c r="C4" s="441"/>
      <c r="D4" s="441"/>
      <c r="E4" s="441"/>
      <c r="F4" s="441"/>
      <c r="G4" s="441"/>
      <c r="H4" s="441"/>
      <c r="I4" s="441"/>
      <c r="J4" s="441"/>
      <c r="K4" s="441"/>
      <c r="L4" s="441"/>
      <c r="M4" s="441"/>
      <c r="N4" s="441"/>
      <c r="O4" s="441"/>
      <c r="P4" s="441"/>
      <c r="Q4" s="441"/>
      <c r="R4" s="441"/>
      <c r="S4" s="441"/>
      <c r="T4" s="441"/>
      <c r="U4" s="441"/>
      <c r="V4" s="441"/>
      <c r="W4" s="441"/>
      <c r="X4" s="441"/>
      <c r="Y4" s="441"/>
      <c r="Z4" s="441"/>
      <c r="AA4" s="441"/>
      <c r="AB4" s="441"/>
      <c r="AC4" s="441"/>
      <c r="AD4" s="441"/>
      <c r="AE4" s="441"/>
      <c r="AF4" s="441"/>
      <c r="AG4" s="441"/>
      <c r="AH4" s="441"/>
      <c r="AI4" s="441"/>
      <c r="AJ4" s="441"/>
      <c r="AK4" s="441"/>
      <c r="AL4" s="441"/>
      <c r="AM4" s="441"/>
      <c r="AN4" s="442"/>
    </row>
    <row r="5" spans="1:40" ht="11.25" customHeight="1">
      <c r="A5" s="371" t="s">
        <v>229</v>
      </c>
      <c r="B5" s="444" t="s">
        <v>230</v>
      </c>
      <c r="C5" s="445"/>
      <c r="D5" s="445"/>
      <c r="E5" s="445"/>
      <c r="F5" s="445"/>
      <c r="G5" s="445"/>
      <c r="H5" s="445"/>
      <c r="I5" s="445"/>
      <c r="J5" s="445"/>
      <c r="K5" s="445"/>
      <c r="L5" s="445"/>
      <c r="M5" s="445"/>
      <c r="N5" s="445"/>
      <c r="O5" s="448" t="s">
        <v>27</v>
      </c>
      <c r="P5" s="448"/>
      <c r="Q5" s="448"/>
      <c r="R5" s="448"/>
      <c r="S5" s="448"/>
      <c r="T5" s="448"/>
      <c r="U5" s="359" t="s">
        <v>229</v>
      </c>
      <c r="V5" s="444" t="s">
        <v>230</v>
      </c>
      <c r="W5" s="445"/>
      <c r="X5" s="445"/>
      <c r="Y5" s="445"/>
      <c r="Z5" s="445"/>
      <c r="AA5" s="445"/>
      <c r="AB5" s="445"/>
      <c r="AC5" s="445"/>
      <c r="AD5" s="445"/>
      <c r="AE5" s="445"/>
      <c r="AF5" s="445"/>
      <c r="AG5" s="445"/>
      <c r="AH5" s="445"/>
      <c r="AI5" s="448" t="s">
        <v>27</v>
      </c>
      <c r="AJ5" s="448"/>
      <c r="AK5" s="448"/>
      <c r="AL5" s="448"/>
      <c r="AM5" s="448"/>
      <c r="AN5" s="450"/>
    </row>
    <row r="6" spans="1:40" ht="11.25" customHeight="1" thickBot="1">
      <c r="A6" s="443"/>
      <c r="B6" s="446"/>
      <c r="C6" s="447"/>
      <c r="D6" s="447"/>
      <c r="E6" s="447"/>
      <c r="F6" s="447"/>
      <c r="G6" s="447"/>
      <c r="H6" s="447"/>
      <c r="I6" s="447"/>
      <c r="J6" s="447"/>
      <c r="K6" s="447"/>
      <c r="L6" s="447"/>
      <c r="M6" s="447"/>
      <c r="N6" s="447"/>
      <c r="O6" s="451" t="s">
        <v>231</v>
      </c>
      <c r="P6" s="451"/>
      <c r="Q6" s="451"/>
      <c r="R6" s="451" t="s">
        <v>232</v>
      </c>
      <c r="S6" s="451"/>
      <c r="T6" s="451"/>
      <c r="U6" s="449"/>
      <c r="V6" s="446"/>
      <c r="W6" s="447"/>
      <c r="X6" s="447"/>
      <c r="Y6" s="447"/>
      <c r="Z6" s="447"/>
      <c r="AA6" s="447"/>
      <c r="AB6" s="447"/>
      <c r="AC6" s="447"/>
      <c r="AD6" s="447"/>
      <c r="AE6" s="447"/>
      <c r="AF6" s="447"/>
      <c r="AG6" s="447"/>
      <c r="AH6" s="447"/>
      <c r="AI6" s="451" t="s">
        <v>231</v>
      </c>
      <c r="AJ6" s="451"/>
      <c r="AK6" s="451"/>
      <c r="AL6" s="451" t="s">
        <v>232</v>
      </c>
      <c r="AM6" s="451"/>
      <c r="AN6" s="464"/>
    </row>
    <row r="7" spans="1:40" s="44" customFormat="1" ht="8.25" customHeight="1">
      <c r="A7" s="38" t="s">
        <v>233</v>
      </c>
      <c r="B7" s="39"/>
      <c r="C7" s="39"/>
      <c r="D7" s="39"/>
      <c r="E7" s="39"/>
      <c r="F7" s="39"/>
      <c r="G7" s="39"/>
      <c r="H7" s="39"/>
      <c r="I7" s="39"/>
      <c r="J7" s="39"/>
      <c r="K7" s="39"/>
      <c r="L7" s="39"/>
      <c r="M7" s="39"/>
      <c r="N7" s="40"/>
      <c r="O7" s="41"/>
      <c r="P7" s="39"/>
      <c r="Q7" s="40"/>
      <c r="R7" s="39"/>
      <c r="S7" s="39"/>
      <c r="T7" s="40"/>
      <c r="U7" s="41" t="s">
        <v>234</v>
      </c>
      <c r="V7" s="22"/>
      <c r="W7" s="22"/>
      <c r="X7" s="22"/>
      <c r="Y7" s="22"/>
      <c r="Z7" s="22"/>
      <c r="AA7" s="22"/>
      <c r="AB7" s="22"/>
      <c r="AC7" s="22"/>
      <c r="AD7" s="22"/>
      <c r="AE7" s="22"/>
      <c r="AF7" s="22"/>
      <c r="AG7" s="22"/>
      <c r="AH7" s="42"/>
      <c r="AI7" s="43"/>
      <c r="AJ7" s="22"/>
      <c r="AK7" s="42"/>
      <c r="AL7" s="22"/>
      <c r="AM7" s="22"/>
      <c r="AN7" s="23"/>
    </row>
    <row r="8" spans="1:40" s="44" customFormat="1" ht="8.25" customHeight="1">
      <c r="A8" s="45"/>
      <c r="B8" s="46" t="s">
        <v>235</v>
      </c>
      <c r="C8" s="47"/>
      <c r="D8" s="47"/>
      <c r="E8" s="47"/>
      <c r="F8" s="47"/>
      <c r="G8" s="47"/>
      <c r="H8" s="47"/>
      <c r="I8" s="47"/>
      <c r="J8" s="47"/>
      <c r="K8" s="47"/>
      <c r="L8" s="47"/>
      <c r="M8" s="47"/>
      <c r="N8" s="48"/>
      <c r="O8" s="452" t="s">
        <v>144</v>
      </c>
      <c r="P8" s="453"/>
      <c r="Q8" s="454"/>
      <c r="R8" s="47"/>
      <c r="S8" s="47"/>
      <c r="T8" s="48"/>
      <c r="U8" s="17"/>
      <c r="V8" s="47" t="s">
        <v>236</v>
      </c>
      <c r="W8" s="1"/>
      <c r="X8" s="1"/>
      <c r="Y8" s="1"/>
      <c r="Z8" s="1"/>
      <c r="AA8" s="1"/>
      <c r="AB8" s="1"/>
      <c r="AC8" s="1"/>
      <c r="AD8" s="1"/>
      <c r="AE8" s="1"/>
      <c r="AF8" s="1"/>
      <c r="AG8" s="1"/>
      <c r="AH8" s="13"/>
      <c r="AI8" s="452" t="s">
        <v>195</v>
      </c>
      <c r="AJ8" s="453"/>
      <c r="AK8" s="454"/>
      <c r="AL8" s="47"/>
      <c r="AM8" s="47"/>
      <c r="AN8" s="46"/>
    </row>
    <row r="9" spans="1:40" s="44" customFormat="1" ht="8.25" customHeight="1">
      <c r="A9" s="49"/>
      <c r="B9" s="50" t="s">
        <v>237</v>
      </c>
      <c r="C9" s="51"/>
      <c r="D9" s="51"/>
      <c r="E9" s="51"/>
      <c r="F9" s="51"/>
      <c r="G9" s="51"/>
      <c r="H9" s="51"/>
      <c r="I9" s="51"/>
      <c r="J9" s="51"/>
      <c r="K9" s="51"/>
      <c r="L9" s="51"/>
      <c r="M9" s="51"/>
      <c r="N9" s="52"/>
      <c r="O9" s="458" t="s">
        <v>146</v>
      </c>
      <c r="P9" s="459"/>
      <c r="Q9" s="460"/>
      <c r="R9" s="51"/>
      <c r="S9" s="51"/>
      <c r="T9" s="52"/>
      <c r="U9" s="35"/>
      <c r="V9" s="47" t="s">
        <v>238</v>
      </c>
      <c r="W9" s="24"/>
      <c r="X9" s="24"/>
      <c r="Y9" s="24"/>
      <c r="Z9" s="24"/>
      <c r="AA9" s="24"/>
      <c r="AB9" s="24"/>
      <c r="AC9" s="24"/>
      <c r="AD9" s="24"/>
      <c r="AE9" s="24"/>
      <c r="AF9" s="24"/>
      <c r="AG9" s="24"/>
      <c r="AH9" s="36"/>
      <c r="AI9" s="458" t="s">
        <v>197</v>
      </c>
      <c r="AJ9" s="459"/>
      <c r="AK9" s="460"/>
      <c r="AL9" s="51"/>
      <c r="AM9" s="51"/>
      <c r="AN9" s="50"/>
    </row>
    <row r="10" spans="1:40" s="44" customFormat="1" ht="8.25" customHeight="1">
      <c r="A10" s="53" t="s">
        <v>233</v>
      </c>
      <c r="B10" s="54"/>
      <c r="C10" s="54"/>
      <c r="D10" s="54"/>
      <c r="E10" s="54"/>
      <c r="F10" s="54"/>
      <c r="G10" s="54"/>
      <c r="H10" s="54"/>
      <c r="I10" s="54"/>
      <c r="J10" s="54"/>
      <c r="K10" s="54"/>
      <c r="L10" s="54"/>
      <c r="M10" s="54"/>
      <c r="N10" s="55"/>
      <c r="O10" s="56"/>
      <c r="P10" s="54"/>
      <c r="Q10" s="55"/>
      <c r="R10" s="54"/>
      <c r="S10" s="54"/>
      <c r="T10" s="55"/>
      <c r="U10" s="57" t="s">
        <v>239</v>
      </c>
      <c r="V10" s="32"/>
      <c r="W10" s="32"/>
      <c r="X10" s="32"/>
      <c r="Y10" s="32"/>
      <c r="Z10" s="32"/>
      <c r="AA10" s="32"/>
      <c r="AB10" s="32"/>
      <c r="AC10" s="32"/>
      <c r="AD10" s="32"/>
      <c r="AE10" s="32"/>
      <c r="AF10" s="32"/>
      <c r="AG10" s="32"/>
      <c r="AH10" s="33"/>
      <c r="AI10" s="465" t="s">
        <v>199</v>
      </c>
      <c r="AJ10" s="466"/>
      <c r="AK10" s="467"/>
      <c r="AL10" s="465" t="s">
        <v>98</v>
      </c>
      <c r="AM10" s="466"/>
      <c r="AN10" s="468"/>
    </row>
    <row r="11" spans="1:40" s="44" customFormat="1" ht="8.25" customHeight="1">
      <c r="A11" s="45"/>
      <c r="B11" s="46" t="s">
        <v>236</v>
      </c>
      <c r="C11" s="47"/>
      <c r="D11" s="47"/>
      <c r="E11" s="47"/>
      <c r="F11" s="47"/>
      <c r="G11" s="47"/>
      <c r="H11" s="47"/>
      <c r="I11" s="47"/>
      <c r="J11" s="47"/>
      <c r="K11" s="47"/>
      <c r="L11" s="47"/>
      <c r="M11" s="47"/>
      <c r="N11" s="48"/>
      <c r="O11" s="452"/>
      <c r="P11" s="453"/>
      <c r="Q11" s="454"/>
      <c r="R11" s="47"/>
      <c r="S11" s="47" t="s">
        <v>52</v>
      </c>
      <c r="T11" s="48"/>
      <c r="U11" s="56" t="s">
        <v>240</v>
      </c>
      <c r="V11" s="32"/>
      <c r="W11" s="32"/>
      <c r="X11" s="32"/>
      <c r="Y11" s="32"/>
      <c r="Z11" s="32"/>
      <c r="AA11" s="32"/>
      <c r="AB11" s="32"/>
      <c r="AC11" s="32"/>
      <c r="AD11" s="32"/>
      <c r="AE11" s="32"/>
      <c r="AF11" s="32"/>
      <c r="AG11" s="32"/>
      <c r="AH11" s="33"/>
      <c r="AI11" s="455" t="s">
        <v>202</v>
      </c>
      <c r="AJ11" s="456"/>
      <c r="AK11" s="457"/>
      <c r="AL11" s="54"/>
      <c r="AM11" s="54"/>
      <c r="AN11" s="58"/>
    </row>
    <row r="12" spans="1:40" s="44" customFormat="1" ht="8.25" customHeight="1">
      <c r="A12" s="49"/>
      <c r="B12" s="50" t="s">
        <v>238</v>
      </c>
      <c r="C12" s="51"/>
      <c r="D12" s="51"/>
      <c r="E12" s="51"/>
      <c r="F12" s="51"/>
      <c r="G12" s="51"/>
      <c r="H12" s="51"/>
      <c r="I12" s="51"/>
      <c r="J12" s="51"/>
      <c r="K12" s="51"/>
      <c r="L12" s="51"/>
      <c r="M12" s="51"/>
      <c r="N12" s="52"/>
      <c r="O12" s="458"/>
      <c r="P12" s="459"/>
      <c r="Q12" s="460"/>
      <c r="R12" s="51"/>
      <c r="S12" s="51" t="s">
        <v>54</v>
      </c>
      <c r="T12" s="52"/>
      <c r="U12" s="59" t="s">
        <v>241</v>
      </c>
      <c r="V12" s="24"/>
      <c r="W12" s="24"/>
      <c r="X12" s="24"/>
      <c r="Y12" s="24"/>
      <c r="Z12" s="24"/>
      <c r="AA12" s="24"/>
      <c r="AB12" s="24"/>
      <c r="AC12" s="24"/>
      <c r="AD12" s="24"/>
      <c r="AE12" s="24"/>
      <c r="AF12" s="24"/>
      <c r="AG12" s="24"/>
      <c r="AH12" s="36"/>
      <c r="AI12" s="458"/>
      <c r="AJ12" s="459"/>
      <c r="AK12" s="460"/>
      <c r="AL12" s="51"/>
      <c r="AM12" s="51"/>
      <c r="AN12" s="50"/>
    </row>
    <row r="13" spans="1:40" s="44" customFormat="1" ht="8.25" customHeight="1">
      <c r="A13" s="53" t="s">
        <v>242</v>
      </c>
      <c r="B13" s="54"/>
      <c r="C13" s="54"/>
      <c r="D13" s="54"/>
      <c r="E13" s="54"/>
      <c r="F13" s="54"/>
      <c r="G13" s="54"/>
      <c r="H13" s="54"/>
      <c r="I13" s="54"/>
      <c r="J13" s="54"/>
      <c r="K13" s="54"/>
      <c r="L13" s="54"/>
      <c r="M13" s="54"/>
      <c r="N13" s="55"/>
      <c r="O13" s="56"/>
      <c r="P13" s="54"/>
      <c r="Q13" s="55"/>
      <c r="R13" s="54"/>
      <c r="S13" s="54"/>
      <c r="T13" s="55"/>
      <c r="U13" s="56" t="s">
        <v>243</v>
      </c>
      <c r="V13" s="32"/>
      <c r="W13" s="32"/>
      <c r="X13" s="32"/>
      <c r="Y13" s="32"/>
      <c r="Z13" s="32"/>
      <c r="AA13" s="32"/>
      <c r="AB13" s="32"/>
      <c r="AC13" s="32"/>
      <c r="AD13" s="32"/>
      <c r="AE13" s="32"/>
      <c r="AF13" s="32"/>
      <c r="AG13" s="32"/>
      <c r="AH13" s="33"/>
      <c r="AI13" s="455" t="s">
        <v>216</v>
      </c>
      <c r="AJ13" s="456"/>
      <c r="AK13" s="457"/>
      <c r="AL13" s="455" t="s">
        <v>119</v>
      </c>
      <c r="AM13" s="456"/>
      <c r="AN13" s="461"/>
    </row>
    <row r="14" spans="1:40" s="44" customFormat="1" ht="8.25" customHeight="1">
      <c r="A14" s="45" t="s">
        <v>244</v>
      </c>
      <c r="B14" s="47"/>
      <c r="C14" s="47"/>
      <c r="D14" s="47"/>
      <c r="E14" s="47"/>
      <c r="F14" s="47"/>
      <c r="G14" s="47"/>
      <c r="H14" s="47"/>
      <c r="I14" s="47"/>
      <c r="J14" s="47"/>
      <c r="K14" s="47"/>
      <c r="L14" s="47"/>
      <c r="M14" s="47"/>
      <c r="N14" s="48"/>
      <c r="O14" s="57"/>
      <c r="P14" s="47"/>
      <c r="Q14" s="48"/>
      <c r="R14" s="47"/>
      <c r="S14" s="47"/>
      <c r="T14" s="48"/>
      <c r="U14" s="57" t="s">
        <v>245</v>
      </c>
      <c r="V14" s="1"/>
      <c r="W14" s="1"/>
      <c r="X14" s="1"/>
      <c r="Y14" s="1"/>
      <c r="Z14" s="1"/>
      <c r="AA14" s="1"/>
      <c r="AB14" s="1"/>
      <c r="AC14" s="1"/>
      <c r="AD14" s="1"/>
      <c r="AE14" s="1"/>
      <c r="AF14" s="1"/>
      <c r="AG14" s="1"/>
      <c r="AH14" s="13"/>
      <c r="AI14" s="452"/>
      <c r="AJ14" s="453"/>
      <c r="AK14" s="454"/>
      <c r="AL14" s="452"/>
      <c r="AM14" s="453"/>
      <c r="AN14" s="462"/>
    </row>
    <row r="15" spans="1:40" s="44" customFormat="1" ht="8.25" customHeight="1">
      <c r="A15" s="45"/>
      <c r="B15" s="47" t="s">
        <v>246</v>
      </c>
      <c r="C15" s="47"/>
      <c r="D15" s="47"/>
      <c r="E15" s="47"/>
      <c r="F15" s="47"/>
      <c r="G15" s="47"/>
      <c r="H15" s="47"/>
      <c r="I15" s="47"/>
      <c r="J15" s="47"/>
      <c r="K15" s="47"/>
      <c r="L15" s="47"/>
      <c r="M15" s="47"/>
      <c r="N15" s="48"/>
      <c r="O15" s="452" t="s">
        <v>148</v>
      </c>
      <c r="P15" s="453"/>
      <c r="Q15" s="454"/>
      <c r="R15" s="47"/>
      <c r="S15" s="47"/>
      <c r="T15" s="48"/>
      <c r="U15" s="59" t="s">
        <v>247</v>
      </c>
      <c r="V15" s="24"/>
      <c r="W15" s="24"/>
      <c r="X15" s="24"/>
      <c r="Y15" s="24"/>
      <c r="Z15" s="24"/>
      <c r="AA15" s="24"/>
      <c r="AB15" s="24"/>
      <c r="AC15" s="24"/>
      <c r="AD15" s="24"/>
      <c r="AE15" s="24"/>
      <c r="AF15" s="24"/>
      <c r="AG15" s="24"/>
      <c r="AH15" s="36"/>
      <c r="AI15" s="458"/>
      <c r="AJ15" s="459"/>
      <c r="AK15" s="460"/>
      <c r="AL15" s="458"/>
      <c r="AM15" s="459"/>
      <c r="AN15" s="463"/>
    </row>
    <row r="16" spans="1:40" s="44" customFormat="1" ht="8.25" customHeight="1">
      <c r="A16" s="49"/>
      <c r="B16" s="51" t="s">
        <v>248</v>
      </c>
      <c r="C16" s="51"/>
      <c r="D16" s="51"/>
      <c r="E16" s="51"/>
      <c r="F16" s="51"/>
      <c r="G16" s="51"/>
      <c r="H16" s="51"/>
      <c r="I16" s="51"/>
      <c r="J16" s="51"/>
      <c r="K16" s="51"/>
      <c r="L16" s="51"/>
      <c r="M16" s="51"/>
      <c r="N16" s="52"/>
      <c r="O16" s="458" t="s">
        <v>150</v>
      </c>
      <c r="P16" s="459"/>
      <c r="Q16" s="460"/>
      <c r="R16" s="51"/>
      <c r="S16" s="51"/>
      <c r="T16" s="51"/>
      <c r="U16" s="56" t="s">
        <v>243</v>
      </c>
      <c r="V16" s="32"/>
      <c r="W16" s="32"/>
      <c r="X16" s="32"/>
      <c r="Y16" s="32"/>
      <c r="Z16" s="32"/>
      <c r="AA16" s="32"/>
      <c r="AB16" s="32"/>
      <c r="AC16" s="32"/>
      <c r="AD16" s="32"/>
      <c r="AE16" s="32"/>
      <c r="AF16" s="32"/>
      <c r="AG16" s="32"/>
      <c r="AH16" s="33"/>
      <c r="AI16" s="455" t="s">
        <v>200</v>
      </c>
      <c r="AJ16" s="456"/>
      <c r="AK16" s="457"/>
      <c r="AL16" s="455" t="s">
        <v>100</v>
      </c>
      <c r="AM16" s="456"/>
      <c r="AN16" s="461"/>
    </row>
    <row r="17" spans="1:40" s="44" customFormat="1" ht="8.25" customHeight="1">
      <c r="A17" s="53" t="s">
        <v>242</v>
      </c>
      <c r="B17" s="60"/>
      <c r="C17" s="60"/>
      <c r="D17" s="60"/>
      <c r="E17" s="60"/>
      <c r="F17" s="60"/>
      <c r="G17" s="60"/>
      <c r="H17" s="60"/>
      <c r="I17" s="60"/>
      <c r="J17" s="60"/>
      <c r="K17" s="60"/>
      <c r="L17" s="60"/>
      <c r="M17" s="60"/>
      <c r="N17" s="61"/>
      <c r="O17" s="56"/>
      <c r="P17" s="54"/>
      <c r="Q17" s="55"/>
      <c r="R17" s="54"/>
      <c r="S17" s="54"/>
      <c r="T17" s="54"/>
      <c r="U17" s="57" t="s">
        <v>249</v>
      </c>
      <c r="V17" s="1"/>
      <c r="W17" s="1"/>
      <c r="X17" s="1"/>
      <c r="Y17" s="1"/>
      <c r="Z17" s="1"/>
      <c r="AA17" s="1"/>
      <c r="AB17" s="1"/>
      <c r="AC17" s="1"/>
      <c r="AD17" s="1"/>
      <c r="AE17" s="1"/>
      <c r="AF17" s="1"/>
      <c r="AG17" s="1"/>
      <c r="AH17" s="13"/>
      <c r="AI17" s="452"/>
      <c r="AJ17" s="453"/>
      <c r="AK17" s="454"/>
      <c r="AL17" s="452"/>
      <c r="AM17" s="453"/>
      <c r="AN17" s="462"/>
    </row>
    <row r="18" spans="1:40" s="44" customFormat="1" ht="8.25" customHeight="1">
      <c r="A18" s="45" t="s">
        <v>250</v>
      </c>
      <c r="B18" s="62"/>
      <c r="C18" s="62"/>
      <c r="D18" s="62"/>
      <c r="E18" s="62"/>
      <c r="F18" s="62"/>
      <c r="G18" s="62"/>
      <c r="H18" s="62"/>
      <c r="I18" s="62"/>
      <c r="J18" s="62"/>
      <c r="K18" s="62"/>
      <c r="L18" s="62"/>
      <c r="M18" s="62"/>
      <c r="N18" s="63"/>
      <c r="O18" s="57"/>
      <c r="P18" s="47"/>
      <c r="Q18" s="48"/>
      <c r="R18" s="47"/>
      <c r="S18" s="47"/>
      <c r="T18" s="47"/>
      <c r="U18" s="59" t="s">
        <v>247</v>
      </c>
      <c r="V18" s="24"/>
      <c r="W18" s="24"/>
      <c r="X18" s="24"/>
      <c r="Y18" s="24"/>
      <c r="Z18" s="24"/>
      <c r="AA18" s="24"/>
      <c r="AB18" s="24"/>
      <c r="AC18" s="24"/>
      <c r="AD18" s="24"/>
      <c r="AE18" s="24"/>
      <c r="AF18" s="24"/>
      <c r="AG18" s="24"/>
      <c r="AH18" s="36"/>
      <c r="AI18" s="458"/>
      <c r="AJ18" s="459"/>
      <c r="AK18" s="460"/>
      <c r="AL18" s="458"/>
      <c r="AM18" s="459"/>
      <c r="AN18" s="463"/>
    </row>
    <row r="19" spans="1:40" s="44" customFormat="1" ht="8.25" customHeight="1">
      <c r="A19" s="45"/>
      <c r="B19" s="47" t="s">
        <v>251</v>
      </c>
      <c r="C19" s="62"/>
      <c r="D19" s="62"/>
      <c r="E19" s="62"/>
      <c r="F19" s="62"/>
      <c r="G19" s="62"/>
      <c r="H19" s="62"/>
      <c r="I19" s="62"/>
      <c r="J19" s="62"/>
      <c r="K19" s="62"/>
      <c r="L19" s="62"/>
      <c r="M19" s="62"/>
      <c r="N19" s="63"/>
      <c r="O19" s="452"/>
      <c r="P19" s="453"/>
      <c r="Q19" s="454"/>
      <c r="R19" s="452" t="s">
        <v>56</v>
      </c>
      <c r="S19" s="453"/>
      <c r="T19" s="454"/>
      <c r="U19" s="56" t="s">
        <v>252</v>
      </c>
      <c r="V19" s="32"/>
      <c r="W19" s="32"/>
      <c r="X19" s="32"/>
      <c r="Y19" s="32"/>
      <c r="Z19" s="32"/>
      <c r="AA19" s="32"/>
      <c r="AB19" s="32"/>
      <c r="AC19" s="32"/>
      <c r="AD19" s="32"/>
      <c r="AE19" s="32"/>
      <c r="AF19" s="32"/>
      <c r="AG19" s="32"/>
      <c r="AH19" s="33"/>
      <c r="AI19" s="455" t="s">
        <v>201</v>
      </c>
      <c r="AJ19" s="456"/>
      <c r="AK19" s="457"/>
      <c r="AL19" s="455" t="s">
        <v>102</v>
      </c>
      <c r="AM19" s="456"/>
      <c r="AN19" s="461"/>
    </row>
    <row r="20" spans="1:40" s="44" customFormat="1" ht="8.25" customHeight="1">
      <c r="A20" s="49"/>
      <c r="B20" s="51" t="s">
        <v>253</v>
      </c>
      <c r="C20" s="64"/>
      <c r="D20" s="64"/>
      <c r="E20" s="64"/>
      <c r="F20" s="64"/>
      <c r="G20" s="64"/>
      <c r="H20" s="64"/>
      <c r="I20" s="64"/>
      <c r="J20" s="64"/>
      <c r="K20" s="64"/>
      <c r="L20" s="64"/>
      <c r="M20" s="64"/>
      <c r="N20" s="65"/>
      <c r="O20" s="458"/>
      <c r="P20" s="459"/>
      <c r="Q20" s="460"/>
      <c r="R20" s="458" t="s">
        <v>58</v>
      </c>
      <c r="S20" s="459"/>
      <c r="T20" s="460"/>
      <c r="U20" s="59" t="s">
        <v>254</v>
      </c>
      <c r="V20" s="24"/>
      <c r="W20" s="24"/>
      <c r="X20" s="24"/>
      <c r="Y20" s="24"/>
      <c r="Z20" s="24"/>
      <c r="AA20" s="24"/>
      <c r="AB20" s="24"/>
      <c r="AC20" s="24"/>
      <c r="AD20" s="24"/>
      <c r="AE20" s="24"/>
      <c r="AF20" s="24"/>
      <c r="AG20" s="24"/>
      <c r="AH20" s="36"/>
      <c r="AI20" s="458"/>
      <c r="AJ20" s="459"/>
      <c r="AK20" s="460"/>
      <c r="AL20" s="458"/>
      <c r="AM20" s="459"/>
      <c r="AN20" s="463"/>
    </row>
    <row r="21" spans="1:40" s="44" customFormat="1" ht="8.25" customHeight="1">
      <c r="A21" s="53" t="s">
        <v>255</v>
      </c>
      <c r="B21" s="54"/>
      <c r="C21" s="60"/>
      <c r="D21" s="60"/>
      <c r="E21" s="60"/>
      <c r="F21" s="60"/>
      <c r="G21" s="60"/>
      <c r="H21" s="60"/>
      <c r="I21" s="60"/>
      <c r="J21" s="60"/>
      <c r="K21" s="60"/>
      <c r="L21" s="60"/>
      <c r="M21" s="60"/>
      <c r="N21" s="61"/>
      <c r="O21" s="56"/>
      <c r="P21" s="54"/>
      <c r="Q21" s="55"/>
      <c r="R21" s="54"/>
      <c r="S21" s="54"/>
      <c r="T21" s="54"/>
      <c r="U21" s="56" t="s">
        <v>252</v>
      </c>
      <c r="V21" s="32"/>
      <c r="W21" s="32"/>
      <c r="X21" s="32"/>
      <c r="Y21" s="32"/>
      <c r="Z21" s="32"/>
      <c r="AA21" s="32"/>
      <c r="AB21" s="32"/>
      <c r="AC21" s="32"/>
      <c r="AD21" s="32"/>
      <c r="AE21" s="32"/>
      <c r="AF21" s="32"/>
      <c r="AG21" s="32"/>
      <c r="AH21" s="33"/>
      <c r="AI21" s="455" t="s">
        <v>204</v>
      </c>
      <c r="AJ21" s="456"/>
      <c r="AK21" s="457"/>
      <c r="AL21" s="455" t="s">
        <v>35</v>
      </c>
      <c r="AM21" s="456"/>
      <c r="AN21" s="461"/>
    </row>
    <row r="22" spans="1:40" s="44" customFormat="1" ht="8.25" customHeight="1">
      <c r="A22" s="45"/>
      <c r="B22" s="47" t="s">
        <v>246</v>
      </c>
      <c r="C22" s="62"/>
      <c r="D22" s="62"/>
      <c r="E22" s="62"/>
      <c r="F22" s="62"/>
      <c r="G22" s="62"/>
      <c r="H22" s="62"/>
      <c r="I22" s="62"/>
      <c r="J22" s="62"/>
      <c r="K22" s="62"/>
      <c r="L22" s="62"/>
      <c r="M22" s="62"/>
      <c r="N22" s="63"/>
      <c r="O22" s="452" t="s">
        <v>152</v>
      </c>
      <c r="P22" s="453"/>
      <c r="Q22" s="454"/>
      <c r="R22" s="47"/>
      <c r="S22" s="47"/>
      <c r="T22" s="47"/>
      <c r="U22" s="59" t="s">
        <v>256</v>
      </c>
      <c r="V22" s="24"/>
      <c r="W22" s="24"/>
      <c r="X22" s="24"/>
      <c r="Y22" s="24"/>
      <c r="Z22" s="24"/>
      <c r="AA22" s="24"/>
      <c r="AB22" s="24"/>
      <c r="AC22" s="24"/>
      <c r="AD22" s="24"/>
      <c r="AE22" s="24"/>
      <c r="AF22" s="24"/>
      <c r="AG22" s="24"/>
      <c r="AH22" s="36"/>
      <c r="AI22" s="458"/>
      <c r="AJ22" s="459"/>
      <c r="AK22" s="460"/>
      <c r="AL22" s="458"/>
      <c r="AM22" s="459"/>
      <c r="AN22" s="463"/>
    </row>
    <row r="23" spans="1:40" s="44" customFormat="1" ht="8.25" customHeight="1">
      <c r="A23" s="49"/>
      <c r="B23" s="51" t="s">
        <v>248</v>
      </c>
      <c r="C23" s="64"/>
      <c r="D23" s="64"/>
      <c r="E23" s="64"/>
      <c r="F23" s="64"/>
      <c r="G23" s="64"/>
      <c r="H23" s="64"/>
      <c r="I23" s="64"/>
      <c r="J23" s="64"/>
      <c r="K23" s="64"/>
      <c r="L23" s="64"/>
      <c r="M23" s="64"/>
      <c r="N23" s="65"/>
      <c r="O23" s="458" t="s">
        <v>154</v>
      </c>
      <c r="P23" s="459"/>
      <c r="Q23" s="460"/>
      <c r="R23" s="51"/>
      <c r="S23" s="51"/>
      <c r="T23" s="51"/>
      <c r="U23" s="56" t="s">
        <v>257</v>
      </c>
      <c r="V23" s="32"/>
      <c r="W23" s="32"/>
      <c r="X23" s="32"/>
      <c r="Y23" s="32"/>
      <c r="Z23" s="32"/>
      <c r="AA23" s="32"/>
      <c r="AB23" s="32"/>
      <c r="AC23" s="32"/>
      <c r="AD23" s="32"/>
      <c r="AE23" s="32"/>
      <c r="AF23" s="32"/>
      <c r="AG23" s="32"/>
      <c r="AH23" s="33"/>
      <c r="AI23" s="31"/>
      <c r="AJ23" s="32"/>
      <c r="AK23" s="33"/>
      <c r="AL23" s="32"/>
      <c r="AM23" s="32"/>
      <c r="AN23" s="34"/>
    </row>
    <row r="24" spans="1:40" s="44" customFormat="1" ht="8.25" customHeight="1">
      <c r="A24" s="53" t="s">
        <v>255</v>
      </c>
      <c r="B24" s="54"/>
      <c r="C24" s="60"/>
      <c r="D24" s="60"/>
      <c r="E24" s="60"/>
      <c r="F24" s="60"/>
      <c r="G24" s="60"/>
      <c r="H24" s="60"/>
      <c r="I24" s="60"/>
      <c r="J24" s="60"/>
      <c r="K24" s="60"/>
      <c r="L24" s="60"/>
      <c r="M24" s="60"/>
      <c r="N24" s="61"/>
      <c r="O24" s="56"/>
      <c r="P24" s="54"/>
      <c r="Q24" s="55"/>
      <c r="R24" s="54"/>
      <c r="S24" s="54"/>
      <c r="T24" s="54"/>
      <c r="U24" s="57" t="s">
        <v>258</v>
      </c>
      <c r="V24" s="1"/>
      <c r="W24" s="1"/>
      <c r="X24" s="1"/>
      <c r="Y24" s="1"/>
      <c r="Z24" s="1"/>
      <c r="AA24" s="1"/>
      <c r="AB24" s="1"/>
      <c r="AC24" s="1"/>
      <c r="AD24" s="1"/>
      <c r="AE24" s="1"/>
      <c r="AF24" s="1"/>
      <c r="AG24" s="1"/>
      <c r="AH24" s="13"/>
      <c r="AI24" s="57"/>
      <c r="AJ24" s="47"/>
      <c r="AK24" s="48"/>
      <c r="AL24" s="1"/>
      <c r="AM24" s="1"/>
      <c r="AN24" s="18"/>
    </row>
    <row r="25" spans="1:40" s="44" customFormat="1" ht="8.25" customHeight="1">
      <c r="A25" s="45"/>
      <c r="B25" s="47" t="s">
        <v>251</v>
      </c>
      <c r="C25" s="62"/>
      <c r="D25" s="62"/>
      <c r="E25" s="62"/>
      <c r="F25" s="62"/>
      <c r="G25" s="62"/>
      <c r="H25" s="62"/>
      <c r="I25" s="62"/>
      <c r="J25" s="62"/>
      <c r="K25" s="62"/>
      <c r="L25" s="62"/>
      <c r="M25" s="62"/>
      <c r="N25" s="63"/>
      <c r="O25" s="452"/>
      <c r="P25" s="453"/>
      <c r="Q25" s="454"/>
      <c r="R25" s="452" t="s">
        <v>60</v>
      </c>
      <c r="S25" s="453"/>
      <c r="T25" s="454"/>
      <c r="U25" s="57" t="s">
        <v>259</v>
      </c>
      <c r="V25" s="1"/>
      <c r="W25" s="1"/>
      <c r="X25" s="1"/>
      <c r="Y25" s="1"/>
      <c r="Z25" s="1"/>
      <c r="AA25" s="1"/>
      <c r="AB25" s="1"/>
      <c r="AC25" s="1"/>
      <c r="AD25" s="1"/>
      <c r="AE25" s="1"/>
      <c r="AF25" s="1"/>
      <c r="AG25" s="1"/>
      <c r="AH25" s="13"/>
      <c r="AI25" s="57"/>
      <c r="AJ25" s="47"/>
      <c r="AK25" s="48"/>
      <c r="AL25" s="1"/>
      <c r="AM25" s="1"/>
      <c r="AN25" s="18"/>
    </row>
    <row r="26" spans="1:40" s="44" customFormat="1" ht="8.25" customHeight="1">
      <c r="A26" s="49"/>
      <c r="B26" s="51" t="s">
        <v>253</v>
      </c>
      <c r="C26" s="64"/>
      <c r="D26" s="64"/>
      <c r="E26" s="64"/>
      <c r="F26" s="64"/>
      <c r="G26" s="64"/>
      <c r="H26" s="64"/>
      <c r="I26" s="64"/>
      <c r="J26" s="64"/>
      <c r="K26" s="64"/>
      <c r="L26" s="64"/>
      <c r="M26" s="64"/>
      <c r="N26" s="65"/>
      <c r="O26" s="458"/>
      <c r="P26" s="459"/>
      <c r="Q26" s="460"/>
      <c r="R26" s="458" t="s">
        <v>62</v>
      </c>
      <c r="S26" s="459"/>
      <c r="T26" s="460"/>
      <c r="U26" s="57"/>
      <c r="V26" s="47" t="s">
        <v>260</v>
      </c>
      <c r="W26" s="1"/>
      <c r="X26" s="1"/>
      <c r="Y26" s="1"/>
      <c r="Z26" s="1"/>
      <c r="AA26" s="1"/>
      <c r="AB26" s="1"/>
      <c r="AC26" s="1"/>
      <c r="AD26" s="1"/>
      <c r="AE26" s="1"/>
      <c r="AF26" s="1"/>
      <c r="AG26" s="1"/>
      <c r="AH26" s="13"/>
      <c r="AI26" s="452" t="s">
        <v>205</v>
      </c>
      <c r="AJ26" s="453"/>
      <c r="AK26" s="454"/>
      <c r="AL26" s="1"/>
      <c r="AM26" s="1"/>
      <c r="AN26" s="18"/>
    </row>
    <row r="27" spans="1:40" s="44" customFormat="1" ht="8.25" customHeight="1">
      <c r="A27" s="53" t="s">
        <v>261</v>
      </c>
      <c r="B27" s="54"/>
      <c r="C27" s="60"/>
      <c r="D27" s="60"/>
      <c r="E27" s="60"/>
      <c r="F27" s="60"/>
      <c r="G27" s="60"/>
      <c r="H27" s="60"/>
      <c r="I27" s="60"/>
      <c r="J27" s="60"/>
      <c r="K27" s="60"/>
      <c r="L27" s="60"/>
      <c r="M27" s="60"/>
      <c r="N27" s="61"/>
      <c r="O27" s="56"/>
      <c r="P27" s="54"/>
      <c r="Q27" s="55"/>
      <c r="R27" s="54"/>
      <c r="S27" s="54"/>
      <c r="T27" s="54"/>
      <c r="U27" s="59"/>
      <c r="V27" s="51" t="s">
        <v>262</v>
      </c>
      <c r="W27" s="24"/>
      <c r="X27" s="24"/>
      <c r="Y27" s="24"/>
      <c r="Z27" s="24"/>
      <c r="AA27" s="24"/>
      <c r="AB27" s="24"/>
      <c r="AC27" s="24"/>
      <c r="AD27" s="24"/>
      <c r="AE27" s="24"/>
      <c r="AF27" s="24"/>
      <c r="AG27" s="24"/>
      <c r="AH27" s="36"/>
      <c r="AI27" s="458" t="s">
        <v>207</v>
      </c>
      <c r="AJ27" s="459"/>
      <c r="AK27" s="460"/>
      <c r="AL27" s="24"/>
      <c r="AM27" s="24"/>
      <c r="AN27" s="25"/>
    </row>
    <row r="28" spans="1:40" s="44" customFormat="1" ht="8.25" customHeight="1">
      <c r="A28" s="45" t="s">
        <v>263</v>
      </c>
      <c r="B28" s="47"/>
      <c r="C28" s="62"/>
      <c r="D28" s="62"/>
      <c r="E28" s="62"/>
      <c r="F28" s="62"/>
      <c r="G28" s="62"/>
      <c r="H28" s="62"/>
      <c r="I28" s="62"/>
      <c r="J28" s="62"/>
      <c r="K28" s="62"/>
      <c r="L28" s="62"/>
      <c r="M28" s="62"/>
      <c r="N28" s="63"/>
      <c r="O28" s="57"/>
      <c r="P28" s="47"/>
      <c r="Q28" s="48"/>
      <c r="R28" s="47"/>
      <c r="S28" s="47"/>
      <c r="T28" s="47"/>
      <c r="U28" s="56" t="s">
        <v>264</v>
      </c>
      <c r="V28" s="32"/>
      <c r="W28" s="32"/>
      <c r="X28" s="32"/>
      <c r="Y28" s="32"/>
      <c r="Z28" s="32"/>
      <c r="AA28" s="32"/>
      <c r="AB28" s="32"/>
      <c r="AC28" s="32"/>
      <c r="AD28" s="32"/>
      <c r="AE28" s="32"/>
      <c r="AF28" s="32"/>
      <c r="AG28" s="32"/>
      <c r="AH28" s="33"/>
      <c r="AI28" s="31"/>
      <c r="AJ28" s="32"/>
      <c r="AK28" s="33"/>
      <c r="AL28" s="32"/>
      <c r="AM28" s="32"/>
      <c r="AN28" s="34"/>
    </row>
    <row r="29" spans="1:40" s="44" customFormat="1" ht="8.25" customHeight="1">
      <c r="A29" s="45"/>
      <c r="B29" s="47" t="s">
        <v>246</v>
      </c>
      <c r="C29" s="62"/>
      <c r="D29" s="62"/>
      <c r="E29" s="62"/>
      <c r="F29" s="62"/>
      <c r="G29" s="62"/>
      <c r="H29" s="62"/>
      <c r="I29" s="62"/>
      <c r="J29" s="62"/>
      <c r="K29" s="62"/>
      <c r="L29" s="62"/>
      <c r="M29" s="62"/>
      <c r="N29" s="63"/>
      <c r="O29" s="452" t="s">
        <v>156</v>
      </c>
      <c r="P29" s="453"/>
      <c r="Q29" s="454"/>
      <c r="R29" s="47"/>
      <c r="S29" s="47"/>
      <c r="T29" s="47"/>
      <c r="U29" s="57" t="s">
        <v>265</v>
      </c>
      <c r="V29" s="1"/>
      <c r="W29" s="1"/>
      <c r="X29" s="1"/>
      <c r="Y29" s="1"/>
      <c r="Z29" s="1"/>
      <c r="AA29" s="1"/>
      <c r="AB29" s="1"/>
      <c r="AC29" s="1"/>
      <c r="AD29" s="1"/>
      <c r="AE29" s="1"/>
      <c r="AF29" s="1"/>
      <c r="AG29" s="1"/>
      <c r="AH29" s="13"/>
      <c r="AI29" s="17"/>
      <c r="AJ29" s="1"/>
      <c r="AK29" s="13"/>
      <c r="AL29" s="1"/>
      <c r="AM29" s="1"/>
      <c r="AN29" s="18"/>
    </row>
    <row r="30" spans="1:40" s="44" customFormat="1" ht="8.25" customHeight="1">
      <c r="A30" s="45"/>
      <c r="B30" s="47" t="s">
        <v>248</v>
      </c>
      <c r="C30" s="62"/>
      <c r="D30" s="62"/>
      <c r="E30" s="62"/>
      <c r="F30" s="62"/>
      <c r="G30" s="62"/>
      <c r="H30" s="62"/>
      <c r="I30" s="62"/>
      <c r="J30" s="62"/>
      <c r="K30" s="62"/>
      <c r="L30" s="62"/>
      <c r="M30" s="62"/>
      <c r="N30" s="63"/>
      <c r="O30" s="458" t="s">
        <v>158</v>
      </c>
      <c r="P30" s="459"/>
      <c r="Q30" s="460"/>
      <c r="R30" s="47"/>
      <c r="S30" s="47"/>
      <c r="T30" s="47"/>
      <c r="U30" s="57" t="s">
        <v>266</v>
      </c>
      <c r="V30" s="1"/>
      <c r="W30" s="1"/>
      <c r="X30" s="1"/>
      <c r="Y30" s="1"/>
      <c r="Z30" s="1"/>
      <c r="AA30" s="1"/>
      <c r="AB30" s="1"/>
      <c r="AC30" s="1"/>
      <c r="AD30" s="1"/>
      <c r="AE30" s="1"/>
      <c r="AF30" s="1"/>
      <c r="AG30" s="1"/>
      <c r="AH30" s="13"/>
      <c r="AI30" s="17"/>
      <c r="AJ30" s="1"/>
      <c r="AK30" s="13"/>
      <c r="AL30" s="1"/>
      <c r="AM30" s="1"/>
      <c r="AN30" s="18"/>
    </row>
    <row r="31" spans="1:40" s="44" customFormat="1" ht="8.25" customHeight="1">
      <c r="A31" s="53" t="s">
        <v>261</v>
      </c>
      <c r="B31" s="54"/>
      <c r="C31" s="60"/>
      <c r="D31" s="60"/>
      <c r="E31" s="60"/>
      <c r="F31" s="60"/>
      <c r="G31" s="60"/>
      <c r="H31" s="60"/>
      <c r="I31" s="60"/>
      <c r="J31" s="60"/>
      <c r="K31" s="60"/>
      <c r="L31" s="60"/>
      <c r="M31" s="60"/>
      <c r="N31" s="61"/>
      <c r="O31" s="56"/>
      <c r="P31" s="54"/>
      <c r="Q31" s="55"/>
      <c r="R31" s="54"/>
      <c r="S31" s="54"/>
      <c r="T31" s="54"/>
      <c r="U31" s="57"/>
      <c r="V31" s="47" t="s">
        <v>267</v>
      </c>
      <c r="W31" s="1"/>
      <c r="X31" s="1"/>
      <c r="Y31" s="1"/>
      <c r="Z31" s="1"/>
      <c r="AA31" s="1"/>
      <c r="AB31" s="1"/>
      <c r="AC31" s="1"/>
      <c r="AD31" s="1"/>
      <c r="AE31" s="1"/>
      <c r="AF31" s="1"/>
      <c r="AG31" s="1"/>
      <c r="AH31" s="13"/>
      <c r="AI31" s="452"/>
      <c r="AJ31" s="453"/>
      <c r="AK31" s="454"/>
      <c r="AL31" s="452" t="s">
        <v>105</v>
      </c>
      <c r="AM31" s="453"/>
      <c r="AN31" s="462"/>
    </row>
    <row r="32" spans="1:40" s="44" customFormat="1" ht="8.25" customHeight="1">
      <c r="A32" s="45" t="s">
        <v>263</v>
      </c>
      <c r="B32" s="47"/>
      <c r="C32" s="62"/>
      <c r="D32" s="62"/>
      <c r="E32" s="62"/>
      <c r="F32" s="62"/>
      <c r="G32" s="62"/>
      <c r="H32" s="62"/>
      <c r="I32" s="62"/>
      <c r="J32" s="62"/>
      <c r="K32" s="62"/>
      <c r="L32" s="62"/>
      <c r="M32" s="62"/>
      <c r="N32" s="63"/>
      <c r="O32" s="57"/>
      <c r="P32" s="47"/>
      <c r="Q32" s="48"/>
      <c r="R32" s="47"/>
      <c r="S32" s="47"/>
      <c r="T32" s="47"/>
      <c r="U32" s="59"/>
      <c r="V32" s="51" t="s">
        <v>268</v>
      </c>
      <c r="W32" s="24"/>
      <c r="X32" s="24"/>
      <c r="Y32" s="24"/>
      <c r="Z32" s="24"/>
      <c r="AA32" s="24"/>
      <c r="AB32" s="24"/>
      <c r="AC32" s="24"/>
      <c r="AD32" s="24"/>
      <c r="AE32" s="24"/>
      <c r="AF32" s="24"/>
      <c r="AG32" s="24"/>
      <c r="AH32" s="36"/>
      <c r="AI32" s="458"/>
      <c r="AJ32" s="459"/>
      <c r="AK32" s="460"/>
      <c r="AL32" s="458" t="s">
        <v>107</v>
      </c>
      <c r="AM32" s="459"/>
      <c r="AN32" s="463"/>
    </row>
    <row r="33" spans="1:40" s="44" customFormat="1" ht="8.25" customHeight="1">
      <c r="A33" s="45"/>
      <c r="B33" s="47" t="s">
        <v>251</v>
      </c>
      <c r="C33" s="62"/>
      <c r="D33" s="62"/>
      <c r="E33" s="62"/>
      <c r="F33" s="62"/>
      <c r="G33" s="62"/>
      <c r="H33" s="62"/>
      <c r="I33" s="62"/>
      <c r="J33" s="62"/>
      <c r="K33" s="62"/>
      <c r="L33" s="62"/>
      <c r="M33" s="62"/>
      <c r="N33" s="63"/>
      <c r="O33" s="57"/>
      <c r="P33" s="47"/>
      <c r="Q33" s="48"/>
      <c r="R33" s="452" t="s">
        <v>64</v>
      </c>
      <c r="S33" s="453"/>
      <c r="T33" s="454"/>
      <c r="U33" s="66" t="s">
        <v>269</v>
      </c>
      <c r="V33" s="67"/>
      <c r="W33" s="67"/>
      <c r="X33" s="67"/>
      <c r="Y33" s="67"/>
      <c r="Z33" s="67"/>
      <c r="AA33" s="67"/>
      <c r="AB33" s="67"/>
      <c r="AC33" s="67"/>
      <c r="AD33" s="67"/>
      <c r="AE33" s="67"/>
      <c r="AF33" s="67"/>
      <c r="AG33" s="67"/>
      <c r="AH33" s="68"/>
      <c r="AI33" s="465" t="s">
        <v>209</v>
      </c>
      <c r="AJ33" s="466"/>
      <c r="AK33" s="467"/>
      <c r="AL33" s="69"/>
      <c r="AM33" s="69"/>
      <c r="AN33" s="70"/>
    </row>
    <row r="34" spans="1:40" s="44" customFormat="1" ht="8.25" customHeight="1">
      <c r="A34" s="49"/>
      <c r="B34" s="51" t="s">
        <v>253</v>
      </c>
      <c r="C34" s="64"/>
      <c r="D34" s="64"/>
      <c r="E34" s="64"/>
      <c r="F34" s="64"/>
      <c r="G34" s="64"/>
      <c r="H34" s="64"/>
      <c r="I34" s="64"/>
      <c r="J34" s="64"/>
      <c r="K34" s="64"/>
      <c r="L34" s="64"/>
      <c r="M34" s="64"/>
      <c r="N34" s="65"/>
      <c r="O34" s="59"/>
      <c r="P34" s="51"/>
      <c r="Q34" s="52"/>
      <c r="R34" s="458" t="s">
        <v>66</v>
      </c>
      <c r="S34" s="459"/>
      <c r="T34" s="460"/>
      <c r="U34" s="66" t="s">
        <v>270</v>
      </c>
      <c r="V34" s="67"/>
      <c r="W34" s="67"/>
      <c r="X34" s="67"/>
      <c r="Y34" s="67"/>
      <c r="Z34" s="67"/>
      <c r="AA34" s="67"/>
      <c r="AB34" s="67"/>
      <c r="AC34" s="67"/>
      <c r="AD34" s="67"/>
      <c r="AE34" s="67"/>
      <c r="AF34" s="67"/>
      <c r="AG34" s="67"/>
      <c r="AH34" s="68"/>
      <c r="AI34" s="465" t="s">
        <v>211</v>
      </c>
      <c r="AJ34" s="466"/>
      <c r="AK34" s="467"/>
      <c r="AL34" s="465" t="s">
        <v>109</v>
      </c>
      <c r="AM34" s="466"/>
      <c r="AN34" s="468"/>
    </row>
    <row r="35" spans="1:40" s="44" customFormat="1" ht="8.25" customHeight="1">
      <c r="A35" s="53" t="s">
        <v>271</v>
      </c>
      <c r="B35" s="54"/>
      <c r="C35" s="60"/>
      <c r="D35" s="60"/>
      <c r="E35" s="60"/>
      <c r="F35" s="60"/>
      <c r="G35" s="60"/>
      <c r="H35" s="60"/>
      <c r="I35" s="60"/>
      <c r="J35" s="60"/>
      <c r="K35" s="60"/>
      <c r="L35" s="60"/>
      <c r="M35" s="60"/>
      <c r="N35" s="61"/>
      <c r="O35" s="56"/>
      <c r="P35" s="54"/>
      <c r="Q35" s="55"/>
      <c r="R35" s="54"/>
      <c r="S35" s="54"/>
      <c r="T35" s="54"/>
      <c r="U35" s="66" t="s">
        <v>272</v>
      </c>
      <c r="V35" s="67"/>
      <c r="W35" s="67"/>
      <c r="X35" s="67"/>
      <c r="Y35" s="67"/>
      <c r="Z35" s="67"/>
      <c r="AA35" s="67"/>
      <c r="AB35" s="67"/>
      <c r="AC35" s="67"/>
      <c r="AD35" s="67"/>
      <c r="AE35" s="67"/>
      <c r="AF35" s="67"/>
      <c r="AG35" s="67"/>
      <c r="AH35" s="68"/>
      <c r="AI35" s="465" t="s">
        <v>212</v>
      </c>
      <c r="AJ35" s="466"/>
      <c r="AK35" s="467"/>
      <c r="AL35" s="465" t="s">
        <v>111</v>
      </c>
      <c r="AM35" s="466"/>
      <c r="AN35" s="468"/>
    </row>
    <row r="36" spans="1:40" s="44" customFormat="1" ht="8.25" customHeight="1">
      <c r="A36" s="45"/>
      <c r="B36" s="47" t="s">
        <v>246</v>
      </c>
      <c r="C36" s="62"/>
      <c r="D36" s="62"/>
      <c r="E36" s="62"/>
      <c r="F36" s="62"/>
      <c r="G36" s="62"/>
      <c r="H36" s="62"/>
      <c r="I36" s="62"/>
      <c r="J36" s="62"/>
      <c r="K36" s="62"/>
      <c r="L36" s="62"/>
      <c r="M36" s="62"/>
      <c r="N36" s="63"/>
      <c r="O36" s="452" t="s">
        <v>160</v>
      </c>
      <c r="P36" s="453"/>
      <c r="Q36" s="454"/>
      <c r="R36" s="47"/>
      <c r="S36" s="47"/>
      <c r="T36" s="47"/>
      <c r="U36" s="56" t="s">
        <v>273</v>
      </c>
      <c r="V36" s="32"/>
      <c r="W36" s="32"/>
      <c r="X36" s="32"/>
      <c r="Y36" s="32"/>
      <c r="Z36" s="32"/>
      <c r="AA36" s="32"/>
      <c r="AB36" s="32"/>
      <c r="AC36" s="32"/>
      <c r="AD36" s="32"/>
      <c r="AE36" s="32"/>
      <c r="AF36" s="32"/>
      <c r="AG36" s="32"/>
      <c r="AH36" s="33"/>
      <c r="AI36" s="455" t="s">
        <v>213</v>
      </c>
      <c r="AJ36" s="456"/>
      <c r="AK36" s="457"/>
      <c r="AL36" s="455" t="s">
        <v>113</v>
      </c>
      <c r="AM36" s="456"/>
      <c r="AN36" s="461"/>
    </row>
    <row r="37" spans="1:40" s="44" customFormat="1" ht="8.25" customHeight="1">
      <c r="A37" s="49"/>
      <c r="B37" s="51" t="s">
        <v>248</v>
      </c>
      <c r="C37" s="64"/>
      <c r="D37" s="64"/>
      <c r="E37" s="64"/>
      <c r="F37" s="64"/>
      <c r="G37" s="64"/>
      <c r="H37" s="64"/>
      <c r="I37" s="64"/>
      <c r="J37" s="64"/>
      <c r="K37" s="64"/>
      <c r="L37" s="64"/>
      <c r="M37" s="64"/>
      <c r="N37" s="65"/>
      <c r="O37" s="458" t="s">
        <v>162</v>
      </c>
      <c r="P37" s="459"/>
      <c r="Q37" s="460"/>
      <c r="R37" s="51"/>
      <c r="S37" s="51"/>
      <c r="T37" s="51"/>
      <c r="U37" s="59" t="s">
        <v>274</v>
      </c>
      <c r="V37" s="24"/>
      <c r="W37" s="24"/>
      <c r="X37" s="24"/>
      <c r="Y37" s="24"/>
      <c r="Z37" s="24"/>
      <c r="AA37" s="24"/>
      <c r="AB37" s="24"/>
      <c r="AC37" s="24"/>
      <c r="AD37" s="24"/>
      <c r="AE37" s="24"/>
      <c r="AF37" s="24"/>
      <c r="AG37" s="24"/>
      <c r="AH37" s="36"/>
      <c r="AI37" s="458"/>
      <c r="AJ37" s="459"/>
      <c r="AK37" s="460"/>
      <c r="AL37" s="458"/>
      <c r="AM37" s="459"/>
      <c r="AN37" s="463"/>
    </row>
    <row r="38" spans="1:40" s="44" customFormat="1" ht="8.25" customHeight="1">
      <c r="A38" s="53" t="s">
        <v>271</v>
      </c>
      <c r="B38" s="54"/>
      <c r="C38" s="60"/>
      <c r="D38" s="60"/>
      <c r="E38" s="60"/>
      <c r="F38" s="60"/>
      <c r="G38" s="60"/>
      <c r="H38" s="60"/>
      <c r="I38" s="60"/>
      <c r="J38" s="60"/>
      <c r="K38" s="60"/>
      <c r="L38" s="60"/>
      <c r="M38" s="60"/>
      <c r="N38" s="61"/>
      <c r="O38" s="56"/>
      <c r="P38" s="54"/>
      <c r="Q38" s="55"/>
      <c r="R38" s="54"/>
      <c r="S38" s="54"/>
      <c r="T38" s="54"/>
      <c r="U38" s="56" t="s">
        <v>275</v>
      </c>
      <c r="V38" s="32"/>
      <c r="W38" s="32"/>
      <c r="X38" s="32"/>
      <c r="Y38" s="32"/>
      <c r="Z38" s="32"/>
      <c r="AA38" s="32"/>
      <c r="AB38" s="32"/>
      <c r="AC38" s="32"/>
      <c r="AD38" s="32"/>
      <c r="AE38" s="32"/>
      <c r="AF38" s="32"/>
      <c r="AG38" s="32"/>
      <c r="AH38" s="33"/>
      <c r="AI38" s="455" t="s">
        <v>214</v>
      </c>
      <c r="AJ38" s="456"/>
      <c r="AK38" s="457"/>
      <c r="AL38" s="455" t="s">
        <v>115</v>
      </c>
      <c r="AM38" s="456"/>
      <c r="AN38" s="461"/>
    </row>
    <row r="39" spans="1:40" s="44" customFormat="1" ht="8.25" customHeight="1">
      <c r="A39" s="45"/>
      <c r="B39" s="47" t="s">
        <v>251</v>
      </c>
      <c r="C39" s="62"/>
      <c r="D39" s="62"/>
      <c r="E39" s="62"/>
      <c r="F39" s="62"/>
      <c r="G39" s="62"/>
      <c r="H39" s="62"/>
      <c r="I39" s="62"/>
      <c r="J39" s="62"/>
      <c r="K39" s="62"/>
      <c r="L39" s="62"/>
      <c r="M39" s="62"/>
      <c r="N39" s="63"/>
      <c r="O39" s="57"/>
      <c r="P39" s="47"/>
      <c r="Q39" s="48"/>
      <c r="R39" s="452" t="s">
        <v>68</v>
      </c>
      <c r="S39" s="453"/>
      <c r="T39" s="454"/>
      <c r="U39" s="57" t="s">
        <v>276</v>
      </c>
      <c r="V39" s="1"/>
      <c r="W39" s="1"/>
      <c r="X39" s="1"/>
      <c r="Y39" s="1"/>
      <c r="Z39" s="1"/>
      <c r="AA39" s="1"/>
      <c r="AB39" s="1"/>
      <c r="AC39" s="1"/>
      <c r="AD39" s="1"/>
      <c r="AE39" s="1"/>
      <c r="AF39" s="1"/>
      <c r="AG39" s="1"/>
      <c r="AH39" s="13"/>
      <c r="AI39" s="452"/>
      <c r="AJ39" s="453"/>
      <c r="AK39" s="454"/>
      <c r="AL39" s="452"/>
      <c r="AM39" s="453"/>
      <c r="AN39" s="462"/>
    </row>
    <row r="40" spans="1:40" s="44" customFormat="1" ht="8.25" customHeight="1">
      <c r="A40" s="49"/>
      <c r="B40" s="51" t="s">
        <v>253</v>
      </c>
      <c r="C40" s="64"/>
      <c r="D40" s="64"/>
      <c r="E40" s="64"/>
      <c r="F40" s="64"/>
      <c r="G40" s="64"/>
      <c r="H40" s="64"/>
      <c r="I40" s="64"/>
      <c r="J40" s="64"/>
      <c r="K40" s="64"/>
      <c r="L40" s="64"/>
      <c r="M40" s="64"/>
      <c r="N40" s="65"/>
      <c r="O40" s="59"/>
      <c r="P40" s="51"/>
      <c r="Q40" s="52"/>
      <c r="R40" s="458" t="s">
        <v>70</v>
      </c>
      <c r="S40" s="459"/>
      <c r="T40" s="460"/>
      <c r="U40" s="59" t="s">
        <v>277</v>
      </c>
      <c r="V40" s="24"/>
      <c r="W40" s="24"/>
      <c r="X40" s="24"/>
      <c r="Y40" s="24"/>
      <c r="Z40" s="24"/>
      <c r="AA40" s="24"/>
      <c r="AB40" s="24"/>
      <c r="AC40" s="24"/>
      <c r="AD40" s="24"/>
      <c r="AE40" s="24"/>
      <c r="AF40" s="24"/>
      <c r="AG40" s="24"/>
      <c r="AH40" s="36"/>
      <c r="AI40" s="458"/>
      <c r="AJ40" s="459"/>
      <c r="AK40" s="460"/>
      <c r="AL40" s="458"/>
      <c r="AM40" s="459"/>
      <c r="AN40" s="463"/>
    </row>
    <row r="41" spans="1:40" s="44" customFormat="1" ht="8.25" customHeight="1">
      <c r="A41" s="53" t="s">
        <v>278</v>
      </c>
      <c r="B41" s="54"/>
      <c r="C41" s="60"/>
      <c r="D41" s="60"/>
      <c r="E41" s="60"/>
      <c r="F41" s="60"/>
      <c r="G41" s="60"/>
      <c r="H41" s="60"/>
      <c r="I41" s="60"/>
      <c r="J41" s="60"/>
      <c r="K41" s="60"/>
      <c r="L41" s="60"/>
      <c r="M41" s="60"/>
      <c r="N41" s="61"/>
      <c r="O41" s="56"/>
      <c r="P41" s="54"/>
      <c r="Q41" s="55"/>
      <c r="R41" s="54"/>
      <c r="S41" s="54"/>
      <c r="T41" s="54"/>
      <c r="U41" s="56" t="s">
        <v>275</v>
      </c>
      <c r="V41" s="32"/>
      <c r="W41" s="32"/>
      <c r="X41" s="32"/>
      <c r="Y41" s="32"/>
      <c r="Z41" s="32"/>
      <c r="AA41" s="32"/>
      <c r="AB41" s="32"/>
      <c r="AC41" s="32"/>
      <c r="AD41" s="32"/>
      <c r="AE41" s="32"/>
      <c r="AF41" s="32"/>
      <c r="AG41" s="32"/>
      <c r="AH41" s="33"/>
      <c r="AI41" s="455" t="s">
        <v>215</v>
      </c>
      <c r="AJ41" s="456"/>
      <c r="AK41" s="457"/>
      <c r="AL41" s="455" t="s">
        <v>117</v>
      </c>
      <c r="AM41" s="456"/>
      <c r="AN41" s="461"/>
    </row>
    <row r="42" spans="1:40" s="44" customFormat="1" ht="8.25" customHeight="1">
      <c r="A42" s="45"/>
      <c r="B42" s="47" t="s">
        <v>246</v>
      </c>
      <c r="C42" s="62"/>
      <c r="D42" s="62"/>
      <c r="E42" s="62"/>
      <c r="F42" s="62"/>
      <c r="G42" s="62"/>
      <c r="H42" s="62"/>
      <c r="I42" s="62"/>
      <c r="J42" s="62"/>
      <c r="K42" s="62"/>
      <c r="L42" s="62"/>
      <c r="M42" s="62"/>
      <c r="N42" s="63"/>
      <c r="O42" s="452" t="s">
        <v>164</v>
      </c>
      <c r="P42" s="453"/>
      <c r="Q42" s="454"/>
      <c r="R42" s="47"/>
      <c r="S42" s="47"/>
      <c r="T42" s="47"/>
      <c r="U42" s="57" t="s">
        <v>279</v>
      </c>
      <c r="V42" s="1"/>
      <c r="W42" s="1"/>
      <c r="X42" s="1"/>
      <c r="Y42" s="1"/>
      <c r="Z42" s="1"/>
      <c r="AA42" s="1"/>
      <c r="AB42" s="1"/>
      <c r="AC42" s="1"/>
      <c r="AD42" s="1"/>
      <c r="AE42" s="1"/>
      <c r="AF42" s="1"/>
      <c r="AG42" s="1"/>
      <c r="AH42" s="13"/>
      <c r="AI42" s="452"/>
      <c r="AJ42" s="453"/>
      <c r="AK42" s="454"/>
      <c r="AL42" s="452"/>
      <c r="AM42" s="453"/>
      <c r="AN42" s="462"/>
    </row>
    <row r="43" spans="1:40" s="44" customFormat="1" ht="8.25" customHeight="1">
      <c r="A43" s="49"/>
      <c r="B43" s="51" t="s">
        <v>248</v>
      </c>
      <c r="C43" s="64"/>
      <c r="D43" s="64"/>
      <c r="E43" s="64"/>
      <c r="F43" s="64"/>
      <c r="G43" s="64"/>
      <c r="H43" s="64"/>
      <c r="I43" s="64"/>
      <c r="J43" s="64"/>
      <c r="K43" s="64"/>
      <c r="L43" s="64"/>
      <c r="M43" s="64"/>
      <c r="N43" s="65"/>
      <c r="O43" s="458" t="s">
        <v>166</v>
      </c>
      <c r="P43" s="459"/>
      <c r="Q43" s="460"/>
      <c r="R43" s="51"/>
      <c r="S43" s="51"/>
      <c r="T43" s="51"/>
      <c r="U43" s="59" t="s">
        <v>280</v>
      </c>
      <c r="V43" s="24"/>
      <c r="W43" s="24"/>
      <c r="X43" s="24"/>
      <c r="Y43" s="24"/>
      <c r="Z43" s="24"/>
      <c r="AA43" s="24"/>
      <c r="AB43" s="24"/>
      <c r="AC43" s="24"/>
      <c r="AD43" s="24"/>
      <c r="AE43" s="24"/>
      <c r="AF43" s="24"/>
      <c r="AG43" s="24"/>
      <c r="AH43" s="36"/>
      <c r="AI43" s="458"/>
      <c r="AJ43" s="459"/>
      <c r="AK43" s="460"/>
      <c r="AL43" s="458"/>
      <c r="AM43" s="459"/>
      <c r="AN43" s="463"/>
    </row>
    <row r="44" spans="1:40" s="44" customFormat="1" ht="8.25" customHeight="1">
      <c r="A44" s="53" t="s">
        <v>278</v>
      </c>
      <c r="B44" s="54"/>
      <c r="C44" s="60"/>
      <c r="D44" s="60"/>
      <c r="E44" s="60"/>
      <c r="F44" s="60"/>
      <c r="G44" s="60"/>
      <c r="H44" s="60"/>
      <c r="I44" s="60"/>
      <c r="J44" s="60"/>
      <c r="K44" s="60"/>
      <c r="L44" s="60"/>
      <c r="M44" s="60"/>
      <c r="N44" s="61"/>
      <c r="O44" s="56"/>
      <c r="P44" s="54"/>
      <c r="Q44" s="55"/>
      <c r="R44" s="54"/>
      <c r="S44" s="54"/>
      <c r="T44" s="54"/>
      <c r="U44" s="56" t="s">
        <v>281</v>
      </c>
      <c r="V44" s="32"/>
      <c r="W44" s="32"/>
      <c r="X44" s="32"/>
      <c r="Y44" s="32"/>
      <c r="Z44" s="32"/>
      <c r="AA44" s="32"/>
      <c r="AB44" s="32"/>
      <c r="AC44" s="32"/>
      <c r="AD44" s="32"/>
      <c r="AE44" s="32"/>
      <c r="AF44" s="32"/>
      <c r="AG44" s="32"/>
      <c r="AH44" s="33"/>
      <c r="AI44" s="455" t="s">
        <v>282</v>
      </c>
      <c r="AJ44" s="456"/>
      <c r="AK44" s="457"/>
      <c r="AL44" s="455" t="s">
        <v>122</v>
      </c>
      <c r="AM44" s="456"/>
      <c r="AN44" s="461"/>
    </row>
    <row r="45" spans="1:40" s="44" customFormat="1" ht="8.25" customHeight="1">
      <c r="A45" s="45"/>
      <c r="B45" s="47" t="s">
        <v>251</v>
      </c>
      <c r="C45" s="62"/>
      <c r="D45" s="62"/>
      <c r="E45" s="62"/>
      <c r="F45" s="62"/>
      <c r="G45" s="62"/>
      <c r="H45" s="62"/>
      <c r="I45" s="62"/>
      <c r="J45" s="62"/>
      <c r="K45" s="62"/>
      <c r="L45" s="62"/>
      <c r="M45" s="62"/>
      <c r="N45" s="63"/>
      <c r="O45" s="57"/>
      <c r="P45" s="47"/>
      <c r="Q45" s="48"/>
      <c r="R45" s="452" t="s">
        <v>72</v>
      </c>
      <c r="S45" s="453"/>
      <c r="T45" s="454"/>
      <c r="U45" s="59" t="s">
        <v>283</v>
      </c>
      <c r="V45" s="24"/>
      <c r="W45" s="24"/>
      <c r="X45" s="24"/>
      <c r="Y45" s="24"/>
      <c r="Z45" s="24"/>
      <c r="AA45" s="24"/>
      <c r="AB45" s="24"/>
      <c r="AC45" s="24"/>
      <c r="AD45" s="24"/>
      <c r="AE45" s="24"/>
      <c r="AF45" s="24"/>
      <c r="AG45" s="24"/>
      <c r="AH45" s="36"/>
      <c r="AI45" s="458"/>
      <c r="AJ45" s="459"/>
      <c r="AK45" s="460"/>
      <c r="AL45" s="458"/>
      <c r="AM45" s="459"/>
      <c r="AN45" s="463"/>
    </row>
    <row r="46" spans="1:40" s="44" customFormat="1" ht="8.25" customHeight="1">
      <c r="A46" s="49"/>
      <c r="B46" s="51" t="s">
        <v>253</v>
      </c>
      <c r="C46" s="64"/>
      <c r="D46" s="64"/>
      <c r="E46" s="64"/>
      <c r="F46" s="64"/>
      <c r="G46" s="64"/>
      <c r="H46" s="64"/>
      <c r="I46" s="64"/>
      <c r="J46" s="64"/>
      <c r="K46" s="64"/>
      <c r="L46" s="64"/>
      <c r="M46" s="64"/>
      <c r="N46" s="65"/>
      <c r="O46" s="59"/>
      <c r="P46" s="51"/>
      <c r="Q46" s="52"/>
      <c r="R46" s="458" t="s">
        <v>74</v>
      </c>
      <c r="S46" s="459"/>
      <c r="T46" s="460"/>
      <c r="U46" s="56" t="s">
        <v>281</v>
      </c>
      <c r="V46" s="32"/>
      <c r="W46" s="32"/>
      <c r="X46" s="32"/>
      <c r="Y46" s="32"/>
      <c r="Z46" s="32"/>
      <c r="AA46" s="32"/>
      <c r="AB46" s="32"/>
      <c r="AC46" s="32"/>
      <c r="AD46" s="32"/>
      <c r="AE46" s="32"/>
      <c r="AF46" s="32"/>
      <c r="AG46" s="32"/>
      <c r="AH46" s="33"/>
      <c r="AI46" s="455" t="s">
        <v>284</v>
      </c>
      <c r="AJ46" s="456"/>
      <c r="AK46" s="457"/>
      <c r="AL46" s="455" t="s">
        <v>124</v>
      </c>
      <c r="AM46" s="456"/>
      <c r="AN46" s="461"/>
    </row>
    <row r="47" spans="1:40" s="44" customFormat="1" ht="8.25" customHeight="1">
      <c r="A47" s="45" t="s">
        <v>285</v>
      </c>
      <c r="B47" s="47"/>
      <c r="C47" s="62"/>
      <c r="D47" s="62"/>
      <c r="E47" s="62"/>
      <c r="F47" s="62"/>
      <c r="G47" s="62"/>
      <c r="H47" s="62"/>
      <c r="I47" s="62"/>
      <c r="J47" s="62"/>
      <c r="K47" s="62"/>
      <c r="L47" s="62"/>
      <c r="M47" s="62"/>
      <c r="N47" s="63"/>
      <c r="O47" s="57"/>
      <c r="P47" s="47"/>
      <c r="Q47" s="48"/>
      <c r="R47" s="47"/>
      <c r="S47" s="47"/>
      <c r="T47" s="47"/>
      <c r="U47" s="59" t="s">
        <v>286</v>
      </c>
      <c r="V47" s="24"/>
      <c r="W47" s="24"/>
      <c r="X47" s="24"/>
      <c r="Y47" s="24"/>
      <c r="Z47" s="24"/>
      <c r="AA47" s="24"/>
      <c r="AB47" s="24"/>
      <c r="AC47" s="24"/>
      <c r="AD47" s="24"/>
      <c r="AE47" s="24"/>
      <c r="AF47" s="24"/>
      <c r="AG47" s="24"/>
      <c r="AH47" s="36"/>
      <c r="AI47" s="458"/>
      <c r="AJ47" s="459"/>
      <c r="AK47" s="460"/>
      <c r="AL47" s="458"/>
      <c r="AM47" s="459"/>
      <c r="AN47" s="463"/>
    </row>
    <row r="48" spans="1:40" s="44" customFormat="1" ht="8.25" customHeight="1">
      <c r="A48" s="45"/>
      <c r="B48" s="47" t="s">
        <v>246</v>
      </c>
      <c r="C48" s="62"/>
      <c r="D48" s="62"/>
      <c r="E48" s="62"/>
      <c r="F48" s="62"/>
      <c r="G48" s="62"/>
      <c r="H48" s="62"/>
      <c r="I48" s="62"/>
      <c r="J48" s="62"/>
      <c r="K48" s="62"/>
      <c r="L48" s="62"/>
      <c r="M48" s="62"/>
      <c r="N48" s="63"/>
      <c r="O48" s="452" t="s">
        <v>168</v>
      </c>
      <c r="P48" s="453"/>
      <c r="Q48" s="454"/>
      <c r="R48" s="47"/>
      <c r="S48" s="47"/>
      <c r="T48" s="47"/>
      <c r="U48" s="56" t="s">
        <v>287</v>
      </c>
      <c r="V48" s="32"/>
      <c r="W48" s="32"/>
      <c r="X48" s="32"/>
      <c r="Y48" s="32"/>
      <c r="Z48" s="32"/>
      <c r="AA48" s="32"/>
      <c r="AB48" s="32"/>
      <c r="AC48" s="32"/>
      <c r="AD48" s="32"/>
      <c r="AE48" s="32"/>
      <c r="AF48" s="32"/>
      <c r="AG48" s="32"/>
      <c r="AH48" s="33"/>
      <c r="AI48" s="455" t="s">
        <v>288</v>
      </c>
      <c r="AJ48" s="456"/>
      <c r="AK48" s="457"/>
      <c r="AL48" s="455" t="s">
        <v>126</v>
      </c>
      <c r="AM48" s="456"/>
      <c r="AN48" s="461"/>
    </row>
    <row r="49" spans="1:40" s="44" customFormat="1" ht="8.25" customHeight="1">
      <c r="A49" s="49"/>
      <c r="B49" s="51" t="s">
        <v>248</v>
      </c>
      <c r="C49" s="64"/>
      <c r="D49" s="64"/>
      <c r="E49" s="64"/>
      <c r="F49" s="64"/>
      <c r="G49" s="64"/>
      <c r="H49" s="64"/>
      <c r="I49" s="64"/>
      <c r="J49" s="64"/>
      <c r="K49" s="64"/>
      <c r="L49" s="64"/>
      <c r="M49" s="64"/>
      <c r="N49" s="65"/>
      <c r="O49" s="458" t="s">
        <v>170</v>
      </c>
      <c r="P49" s="459"/>
      <c r="Q49" s="460"/>
      <c r="R49" s="51"/>
      <c r="S49" s="51"/>
      <c r="T49" s="51"/>
      <c r="U49" s="57" t="s">
        <v>289</v>
      </c>
      <c r="V49" s="1"/>
      <c r="W49" s="1"/>
      <c r="X49" s="1"/>
      <c r="Y49" s="1"/>
      <c r="Z49" s="1"/>
      <c r="AA49" s="1"/>
      <c r="AB49" s="1"/>
      <c r="AC49" s="1"/>
      <c r="AD49" s="1"/>
      <c r="AE49" s="1"/>
      <c r="AF49" s="1"/>
      <c r="AG49" s="1"/>
      <c r="AH49" s="13"/>
      <c r="AI49" s="452"/>
      <c r="AJ49" s="453"/>
      <c r="AK49" s="454"/>
      <c r="AL49" s="452"/>
      <c r="AM49" s="453"/>
      <c r="AN49" s="462"/>
    </row>
    <row r="50" spans="1:40" s="44" customFormat="1" ht="8.25" customHeight="1">
      <c r="A50" s="45" t="s">
        <v>285</v>
      </c>
      <c r="B50" s="47"/>
      <c r="C50" s="62"/>
      <c r="D50" s="62"/>
      <c r="E50" s="62"/>
      <c r="F50" s="62"/>
      <c r="G50" s="62"/>
      <c r="H50" s="62"/>
      <c r="I50" s="62"/>
      <c r="J50" s="62"/>
      <c r="K50" s="62"/>
      <c r="L50" s="62"/>
      <c r="M50" s="62"/>
      <c r="N50" s="63"/>
      <c r="O50" s="57"/>
      <c r="P50" s="47"/>
      <c r="Q50" s="48"/>
      <c r="R50" s="47"/>
      <c r="S50" s="47"/>
      <c r="T50" s="47"/>
      <c r="U50" s="57" t="s">
        <v>290</v>
      </c>
      <c r="V50" s="1"/>
      <c r="W50" s="1"/>
      <c r="X50" s="1"/>
      <c r="Y50" s="1"/>
      <c r="Z50" s="1"/>
      <c r="AA50" s="1"/>
      <c r="AB50" s="1"/>
      <c r="AC50" s="1"/>
      <c r="AD50" s="1"/>
      <c r="AE50" s="1"/>
      <c r="AF50" s="1"/>
      <c r="AG50" s="1"/>
      <c r="AH50" s="13"/>
      <c r="AI50" s="452"/>
      <c r="AJ50" s="453"/>
      <c r="AK50" s="454"/>
      <c r="AL50" s="452"/>
      <c r="AM50" s="453"/>
      <c r="AN50" s="462"/>
    </row>
    <row r="51" spans="1:40" s="44" customFormat="1" ht="8.25" customHeight="1">
      <c r="A51" s="45"/>
      <c r="B51" s="47" t="s">
        <v>251</v>
      </c>
      <c r="C51" s="62"/>
      <c r="D51" s="62"/>
      <c r="E51" s="62"/>
      <c r="F51" s="62"/>
      <c r="G51" s="62"/>
      <c r="H51" s="62"/>
      <c r="I51" s="62"/>
      <c r="J51" s="62"/>
      <c r="K51" s="62"/>
      <c r="L51" s="62"/>
      <c r="M51" s="62"/>
      <c r="N51" s="63"/>
      <c r="O51" s="57"/>
      <c r="P51" s="47"/>
      <c r="Q51" s="48"/>
      <c r="R51" s="452" t="s">
        <v>76</v>
      </c>
      <c r="S51" s="453"/>
      <c r="T51" s="454"/>
      <c r="U51" s="59" t="s">
        <v>291</v>
      </c>
      <c r="V51" s="24"/>
      <c r="W51" s="24"/>
      <c r="X51" s="24"/>
      <c r="Y51" s="24"/>
      <c r="Z51" s="24"/>
      <c r="AA51" s="24"/>
      <c r="AB51" s="24"/>
      <c r="AC51" s="24"/>
      <c r="AD51" s="24"/>
      <c r="AE51" s="24"/>
      <c r="AF51" s="24"/>
      <c r="AG51" s="24"/>
      <c r="AH51" s="36"/>
      <c r="AI51" s="458"/>
      <c r="AJ51" s="459"/>
      <c r="AK51" s="460"/>
      <c r="AL51" s="458"/>
      <c r="AM51" s="459"/>
      <c r="AN51" s="463"/>
    </row>
    <row r="52" spans="1:40" s="44" customFormat="1" ht="8.25" customHeight="1">
      <c r="A52" s="49"/>
      <c r="B52" s="51" t="s">
        <v>253</v>
      </c>
      <c r="C52" s="64"/>
      <c r="D52" s="64"/>
      <c r="E52" s="64"/>
      <c r="F52" s="64"/>
      <c r="G52" s="64"/>
      <c r="H52" s="64"/>
      <c r="I52" s="64"/>
      <c r="J52" s="64"/>
      <c r="K52" s="64"/>
      <c r="L52" s="64"/>
      <c r="M52" s="64"/>
      <c r="N52" s="65"/>
      <c r="O52" s="59"/>
      <c r="P52" s="51"/>
      <c r="Q52" s="52"/>
      <c r="R52" s="458" t="s">
        <v>78</v>
      </c>
      <c r="S52" s="459"/>
      <c r="T52" s="460"/>
      <c r="U52" s="56" t="s">
        <v>287</v>
      </c>
      <c r="V52" s="32"/>
      <c r="W52" s="32"/>
      <c r="X52" s="32"/>
      <c r="Y52" s="32"/>
      <c r="Z52" s="32"/>
      <c r="AA52" s="32"/>
      <c r="AB52" s="32"/>
      <c r="AC52" s="32"/>
      <c r="AD52" s="32"/>
      <c r="AE52" s="32"/>
      <c r="AF52" s="32"/>
      <c r="AG52" s="32"/>
      <c r="AH52" s="33"/>
      <c r="AI52" s="455" t="s">
        <v>220</v>
      </c>
      <c r="AJ52" s="456"/>
      <c r="AK52" s="457"/>
      <c r="AL52" s="455" t="s">
        <v>128</v>
      </c>
      <c r="AM52" s="456"/>
      <c r="AN52" s="461"/>
    </row>
    <row r="53" spans="1:40" s="44" customFormat="1" ht="8.25" customHeight="1">
      <c r="A53" s="45" t="s">
        <v>292</v>
      </c>
      <c r="B53" s="47"/>
      <c r="C53" s="62"/>
      <c r="D53" s="62"/>
      <c r="E53" s="62"/>
      <c r="F53" s="62"/>
      <c r="G53" s="62"/>
      <c r="H53" s="62"/>
      <c r="I53" s="62"/>
      <c r="J53" s="62"/>
      <c r="K53" s="62"/>
      <c r="L53" s="62"/>
      <c r="M53" s="62"/>
      <c r="N53" s="63"/>
      <c r="O53" s="57"/>
      <c r="P53" s="47"/>
      <c r="Q53" s="48"/>
      <c r="R53" s="47"/>
      <c r="S53" s="47"/>
      <c r="T53" s="47"/>
      <c r="U53" s="57" t="s">
        <v>293</v>
      </c>
      <c r="V53" s="1"/>
      <c r="W53" s="1"/>
      <c r="X53" s="1"/>
      <c r="Y53" s="1"/>
      <c r="Z53" s="1"/>
      <c r="AA53" s="1"/>
      <c r="AB53" s="1"/>
      <c r="AC53" s="1"/>
      <c r="AD53" s="1"/>
      <c r="AE53" s="1"/>
      <c r="AF53" s="1"/>
      <c r="AG53" s="1"/>
      <c r="AH53" s="13"/>
      <c r="AI53" s="452"/>
      <c r="AJ53" s="453"/>
      <c r="AK53" s="454"/>
      <c r="AL53" s="452"/>
      <c r="AM53" s="453"/>
      <c r="AN53" s="462"/>
    </row>
    <row r="54" spans="1:40" s="44" customFormat="1" ht="8.25" customHeight="1">
      <c r="A54" s="45"/>
      <c r="B54" s="47" t="s">
        <v>246</v>
      </c>
      <c r="C54" s="62"/>
      <c r="D54" s="62"/>
      <c r="E54" s="62"/>
      <c r="F54" s="62"/>
      <c r="G54" s="62"/>
      <c r="H54" s="62"/>
      <c r="I54" s="62"/>
      <c r="J54" s="62"/>
      <c r="K54" s="62"/>
      <c r="L54" s="62"/>
      <c r="M54" s="62"/>
      <c r="N54" s="63"/>
      <c r="O54" s="452" t="s">
        <v>172</v>
      </c>
      <c r="P54" s="453"/>
      <c r="Q54" s="454"/>
      <c r="R54" s="47"/>
      <c r="S54" s="47"/>
      <c r="T54" s="47"/>
      <c r="U54" s="57" t="s">
        <v>294</v>
      </c>
      <c r="V54" s="1"/>
      <c r="W54" s="1"/>
      <c r="X54" s="1"/>
      <c r="Y54" s="1"/>
      <c r="Z54" s="1"/>
      <c r="AA54" s="1"/>
      <c r="AB54" s="1"/>
      <c r="AC54" s="1"/>
      <c r="AD54" s="1"/>
      <c r="AE54" s="1"/>
      <c r="AF54" s="1"/>
      <c r="AG54" s="1"/>
      <c r="AH54" s="13"/>
      <c r="AI54" s="452"/>
      <c r="AJ54" s="453"/>
      <c r="AK54" s="454"/>
      <c r="AL54" s="452"/>
      <c r="AM54" s="453"/>
      <c r="AN54" s="462"/>
    </row>
    <row r="55" spans="1:40" s="44" customFormat="1" ht="8.25" customHeight="1">
      <c r="A55" s="49"/>
      <c r="B55" s="51" t="s">
        <v>248</v>
      </c>
      <c r="C55" s="64"/>
      <c r="D55" s="64"/>
      <c r="E55" s="64"/>
      <c r="F55" s="64"/>
      <c r="G55" s="64"/>
      <c r="H55" s="64"/>
      <c r="I55" s="64"/>
      <c r="J55" s="64"/>
      <c r="K55" s="64"/>
      <c r="L55" s="64"/>
      <c r="M55" s="64"/>
      <c r="N55" s="65"/>
      <c r="O55" s="458" t="s">
        <v>175</v>
      </c>
      <c r="P55" s="459"/>
      <c r="Q55" s="460"/>
      <c r="R55" s="51"/>
      <c r="S55" s="51"/>
      <c r="T55" s="51"/>
      <c r="U55" s="59" t="s">
        <v>227</v>
      </c>
      <c r="V55" s="24"/>
      <c r="W55" s="24"/>
      <c r="X55" s="24"/>
      <c r="Y55" s="24"/>
      <c r="Z55" s="24"/>
      <c r="AA55" s="24"/>
      <c r="AB55" s="24"/>
      <c r="AC55" s="24"/>
      <c r="AD55" s="24"/>
      <c r="AE55" s="24"/>
      <c r="AF55" s="24"/>
      <c r="AG55" s="24"/>
      <c r="AH55" s="36"/>
      <c r="AI55" s="458"/>
      <c r="AJ55" s="459"/>
      <c r="AK55" s="460"/>
      <c r="AL55" s="458"/>
      <c r="AM55" s="459"/>
      <c r="AN55" s="463"/>
    </row>
    <row r="56" spans="1:40" s="44" customFormat="1" ht="8.25" customHeight="1">
      <c r="A56" s="45" t="s">
        <v>292</v>
      </c>
      <c r="B56" s="47"/>
      <c r="C56" s="62"/>
      <c r="D56" s="62"/>
      <c r="E56" s="62"/>
      <c r="F56" s="62"/>
      <c r="G56" s="62"/>
      <c r="H56" s="62"/>
      <c r="I56" s="62"/>
      <c r="J56" s="62"/>
      <c r="K56" s="62"/>
      <c r="L56" s="62"/>
      <c r="M56" s="62"/>
      <c r="N56" s="63"/>
      <c r="O56" s="57"/>
      <c r="P56" s="47"/>
      <c r="Q56" s="48"/>
      <c r="R56" s="47"/>
      <c r="S56" s="47"/>
      <c r="T56" s="47"/>
      <c r="U56" s="56" t="s">
        <v>287</v>
      </c>
      <c r="V56" s="32"/>
      <c r="W56" s="32"/>
      <c r="X56" s="32"/>
      <c r="Y56" s="32"/>
      <c r="Z56" s="32"/>
      <c r="AA56" s="32"/>
      <c r="AB56" s="32"/>
      <c r="AC56" s="32"/>
      <c r="AD56" s="32"/>
      <c r="AE56" s="32"/>
      <c r="AF56" s="32"/>
      <c r="AG56" s="32"/>
      <c r="AH56" s="33"/>
      <c r="AI56" s="455" t="s">
        <v>221</v>
      </c>
      <c r="AJ56" s="456"/>
      <c r="AK56" s="457"/>
      <c r="AL56" s="455" t="s">
        <v>131</v>
      </c>
      <c r="AM56" s="456"/>
      <c r="AN56" s="461"/>
    </row>
    <row r="57" spans="1:40" s="44" customFormat="1" ht="8.25" customHeight="1">
      <c r="A57" s="45"/>
      <c r="B57" s="47" t="s">
        <v>251</v>
      </c>
      <c r="C57" s="62"/>
      <c r="D57" s="62"/>
      <c r="E57" s="62"/>
      <c r="F57" s="62"/>
      <c r="G57" s="62"/>
      <c r="H57" s="62"/>
      <c r="I57" s="62"/>
      <c r="J57" s="62"/>
      <c r="K57" s="62"/>
      <c r="L57" s="62"/>
      <c r="M57" s="62"/>
      <c r="N57" s="63"/>
      <c r="O57" s="57"/>
      <c r="P57" s="47"/>
      <c r="Q57" s="48"/>
      <c r="R57" s="452" t="s">
        <v>80</v>
      </c>
      <c r="S57" s="453"/>
      <c r="T57" s="454"/>
      <c r="U57" s="57" t="s">
        <v>289</v>
      </c>
      <c r="V57" s="1"/>
      <c r="W57" s="1"/>
      <c r="X57" s="1"/>
      <c r="Y57" s="1"/>
      <c r="Z57" s="1"/>
      <c r="AA57" s="1"/>
      <c r="AB57" s="1"/>
      <c r="AC57" s="1"/>
      <c r="AD57" s="1"/>
      <c r="AE57" s="1"/>
      <c r="AF57" s="1"/>
      <c r="AG57" s="1"/>
      <c r="AH57" s="13"/>
      <c r="AI57" s="452"/>
      <c r="AJ57" s="453"/>
      <c r="AK57" s="454"/>
      <c r="AL57" s="452"/>
      <c r="AM57" s="453"/>
      <c r="AN57" s="462"/>
    </row>
    <row r="58" spans="1:40" s="44" customFormat="1" ht="8.25" customHeight="1">
      <c r="A58" s="49"/>
      <c r="B58" s="51" t="s">
        <v>253</v>
      </c>
      <c r="C58" s="64"/>
      <c r="D58" s="64"/>
      <c r="E58" s="64"/>
      <c r="F58" s="64"/>
      <c r="G58" s="64"/>
      <c r="H58" s="64"/>
      <c r="I58" s="64"/>
      <c r="J58" s="64"/>
      <c r="K58" s="64"/>
      <c r="L58" s="64"/>
      <c r="M58" s="64"/>
      <c r="N58" s="65"/>
      <c r="O58" s="59"/>
      <c r="P58" s="51"/>
      <c r="Q58" s="52"/>
      <c r="R58" s="458" t="s">
        <v>82</v>
      </c>
      <c r="S58" s="459"/>
      <c r="T58" s="460"/>
      <c r="U58" s="57" t="s">
        <v>290</v>
      </c>
      <c r="V58" s="1"/>
      <c r="W58" s="1"/>
      <c r="X58" s="1"/>
      <c r="Y58" s="1"/>
      <c r="Z58" s="1"/>
      <c r="AA58" s="1"/>
      <c r="AB58" s="1"/>
      <c r="AC58" s="1"/>
      <c r="AD58" s="1"/>
      <c r="AE58" s="1"/>
      <c r="AF58" s="1"/>
      <c r="AG58" s="1"/>
      <c r="AH58" s="13"/>
      <c r="AI58" s="452"/>
      <c r="AJ58" s="453"/>
      <c r="AK58" s="454"/>
      <c r="AL58" s="452"/>
      <c r="AM58" s="453"/>
      <c r="AN58" s="462"/>
    </row>
    <row r="59" spans="1:40" s="44" customFormat="1" ht="8.25" customHeight="1">
      <c r="A59" s="45" t="s">
        <v>295</v>
      </c>
      <c r="B59" s="47"/>
      <c r="C59" s="62"/>
      <c r="D59" s="62"/>
      <c r="E59" s="62"/>
      <c r="F59" s="62"/>
      <c r="G59" s="62"/>
      <c r="H59" s="62"/>
      <c r="I59" s="62"/>
      <c r="J59" s="62"/>
      <c r="K59" s="62"/>
      <c r="L59" s="62"/>
      <c r="M59" s="62"/>
      <c r="N59" s="63"/>
      <c r="O59" s="57"/>
      <c r="P59" s="47"/>
      <c r="Q59" s="48"/>
      <c r="R59" s="47"/>
      <c r="S59" s="47"/>
      <c r="T59" s="47"/>
      <c r="U59" s="59" t="s">
        <v>296</v>
      </c>
      <c r="V59" s="24"/>
      <c r="W59" s="24"/>
      <c r="X59" s="24"/>
      <c r="Y59" s="24"/>
      <c r="Z59" s="24"/>
      <c r="AA59" s="24"/>
      <c r="AB59" s="24"/>
      <c r="AC59" s="24"/>
      <c r="AD59" s="24"/>
      <c r="AE59" s="24"/>
      <c r="AF59" s="24"/>
      <c r="AG59" s="24"/>
      <c r="AH59" s="36"/>
      <c r="AI59" s="458"/>
      <c r="AJ59" s="459"/>
      <c r="AK59" s="460"/>
      <c r="AL59" s="458"/>
      <c r="AM59" s="459"/>
      <c r="AN59" s="463"/>
    </row>
    <row r="60" spans="1:40" s="44" customFormat="1" ht="8.25" customHeight="1">
      <c r="A60" s="45"/>
      <c r="B60" s="47" t="s">
        <v>246</v>
      </c>
      <c r="C60" s="62"/>
      <c r="D60" s="62"/>
      <c r="E60" s="62"/>
      <c r="F60" s="62"/>
      <c r="G60" s="62"/>
      <c r="H60" s="62"/>
      <c r="I60" s="62"/>
      <c r="J60" s="62"/>
      <c r="K60" s="62"/>
      <c r="L60" s="62"/>
      <c r="M60" s="62"/>
      <c r="N60" s="63"/>
      <c r="O60" s="452" t="s">
        <v>177</v>
      </c>
      <c r="P60" s="453"/>
      <c r="Q60" s="454"/>
      <c r="R60" s="47"/>
      <c r="S60" s="47"/>
      <c r="T60" s="47"/>
      <c r="U60" s="56" t="s">
        <v>287</v>
      </c>
      <c r="V60" s="32"/>
      <c r="W60" s="32"/>
      <c r="X60" s="32"/>
      <c r="Y60" s="32"/>
      <c r="Z60" s="32"/>
      <c r="AA60" s="32"/>
      <c r="AB60" s="32"/>
      <c r="AC60" s="32"/>
      <c r="AD60" s="32"/>
      <c r="AE60" s="32"/>
      <c r="AF60" s="32"/>
      <c r="AG60" s="32"/>
      <c r="AH60" s="33"/>
      <c r="AI60" s="455" t="s">
        <v>222</v>
      </c>
      <c r="AJ60" s="456"/>
      <c r="AK60" s="457"/>
      <c r="AL60" s="455" t="s">
        <v>134</v>
      </c>
      <c r="AM60" s="456"/>
      <c r="AN60" s="461"/>
    </row>
    <row r="61" spans="1:40" s="44" customFormat="1" ht="8.25" customHeight="1">
      <c r="A61" s="49"/>
      <c r="B61" s="51" t="s">
        <v>248</v>
      </c>
      <c r="C61" s="64"/>
      <c r="D61" s="64"/>
      <c r="E61" s="64"/>
      <c r="F61" s="64"/>
      <c r="G61" s="64"/>
      <c r="H61" s="64"/>
      <c r="I61" s="64"/>
      <c r="J61" s="64"/>
      <c r="K61" s="64"/>
      <c r="L61" s="64"/>
      <c r="M61" s="64"/>
      <c r="N61" s="65"/>
      <c r="O61" s="458" t="s">
        <v>179</v>
      </c>
      <c r="P61" s="459"/>
      <c r="Q61" s="460"/>
      <c r="R61" s="51"/>
      <c r="S61" s="51"/>
      <c r="T61" s="51"/>
      <c r="U61" s="57" t="s">
        <v>297</v>
      </c>
      <c r="V61" s="1"/>
      <c r="W61" s="1"/>
      <c r="X61" s="1"/>
      <c r="Y61" s="1"/>
      <c r="Z61" s="1"/>
      <c r="AA61" s="1"/>
      <c r="AB61" s="1"/>
      <c r="AC61" s="1"/>
      <c r="AD61" s="1"/>
      <c r="AE61" s="1"/>
      <c r="AF61" s="1"/>
      <c r="AG61" s="1"/>
      <c r="AH61" s="13"/>
      <c r="AI61" s="452"/>
      <c r="AJ61" s="453"/>
      <c r="AK61" s="454"/>
      <c r="AL61" s="452"/>
      <c r="AM61" s="453"/>
      <c r="AN61" s="462"/>
    </row>
    <row r="62" spans="1:40" s="44" customFormat="1" ht="8.25" customHeight="1">
      <c r="A62" s="45" t="s">
        <v>298</v>
      </c>
      <c r="B62" s="47"/>
      <c r="C62" s="62"/>
      <c r="D62" s="62"/>
      <c r="E62" s="62"/>
      <c r="F62" s="62"/>
      <c r="G62" s="62"/>
      <c r="H62" s="62"/>
      <c r="I62" s="62"/>
      <c r="J62" s="62"/>
      <c r="K62" s="62"/>
      <c r="L62" s="62"/>
      <c r="M62" s="62"/>
      <c r="N62" s="63"/>
      <c r="O62" s="455" t="s">
        <v>181</v>
      </c>
      <c r="P62" s="456"/>
      <c r="Q62" s="457"/>
      <c r="R62" s="455" t="s">
        <v>84</v>
      </c>
      <c r="S62" s="456"/>
      <c r="T62" s="457"/>
      <c r="U62" s="57" t="s">
        <v>299</v>
      </c>
      <c r="V62" s="1"/>
      <c r="W62" s="1"/>
      <c r="X62" s="1"/>
      <c r="Y62" s="1"/>
      <c r="Z62" s="1"/>
      <c r="AA62" s="1"/>
      <c r="AB62" s="1"/>
      <c r="AC62" s="1"/>
      <c r="AD62" s="1"/>
      <c r="AE62" s="1"/>
      <c r="AF62" s="1"/>
      <c r="AG62" s="1"/>
      <c r="AH62" s="13"/>
      <c r="AI62" s="452"/>
      <c r="AJ62" s="453"/>
      <c r="AK62" s="454"/>
      <c r="AL62" s="452"/>
      <c r="AM62" s="453"/>
      <c r="AN62" s="462"/>
    </row>
    <row r="63" spans="1:40" s="44" customFormat="1" ht="8.25" customHeight="1">
      <c r="A63" s="45" t="s">
        <v>300</v>
      </c>
      <c r="B63" s="47"/>
      <c r="C63" s="62"/>
      <c r="D63" s="62"/>
      <c r="E63" s="62"/>
      <c r="F63" s="62"/>
      <c r="G63" s="62"/>
      <c r="H63" s="62"/>
      <c r="I63" s="62"/>
      <c r="J63" s="62"/>
      <c r="K63" s="62"/>
      <c r="L63" s="62"/>
      <c r="M63" s="62"/>
      <c r="N63" s="63"/>
      <c r="O63" s="452"/>
      <c r="P63" s="453"/>
      <c r="Q63" s="454"/>
      <c r="R63" s="452"/>
      <c r="S63" s="453"/>
      <c r="T63" s="454"/>
      <c r="U63" s="59" t="s">
        <v>301</v>
      </c>
      <c r="V63" s="24"/>
      <c r="W63" s="24"/>
      <c r="X63" s="24"/>
      <c r="Y63" s="24"/>
      <c r="Z63" s="24"/>
      <c r="AA63" s="24"/>
      <c r="AB63" s="24"/>
      <c r="AC63" s="24"/>
      <c r="AD63" s="24"/>
      <c r="AE63" s="24"/>
      <c r="AF63" s="24"/>
      <c r="AG63" s="24"/>
      <c r="AH63" s="36"/>
      <c r="AI63" s="458"/>
      <c r="AJ63" s="459"/>
      <c r="AK63" s="460"/>
      <c r="AL63" s="458"/>
      <c r="AM63" s="459"/>
      <c r="AN63" s="463"/>
    </row>
    <row r="64" spans="1:40" s="44" customFormat="1" ht="8.25" customHeight="1">
      <c r="A64" s="45" t="s">
        <v>302</v>
      </c>
      <c r="B64" s="47"/>
      <c r="C64" s="62"/>
      <c r="D64" s="62"/>
      <c r="E64" s="62"/>
      <c r="F64" s="62"/>
      <c r="G64" s="62"/>
      <c r="H64" s="62"/>
      <c r="I64" s="62"/>
      <c r="J64" s="62"/>
      <c r="K64" s="62"/>
      <c r="L64" s="62"/>
      <c r="M64" s="62"/>
      <c r="N64" s="63"/>
      <c r="O64" s="452"/>
      <c r="P64" s="453"/>
      <c r="Q64" s="454"/>
      <c r="R64" s="452"/>
      <c r="S64" s="453"/>
      <c r="T64" s="454"/>
      <c r="U64" s="56" t="s">
        <v>303</v>
      </c>
      <c r="V64" s="32"/>
      <c r="W64" s="32"/>
      <c r="X64" s="32"/>
      <c r="Y64" s="32"/>
      <c r="Z64" s="32"/>
      <c r="AA64" s="32"/>
      <c r="AB64" s="32"/>
      <c r="AC64" s="32"/>
      <c r="AD64" s="32"/>
      <c r="AE64" s="32"/>
      <c r="AF64" s="32"/>
      <c r="AG64" s="32"/>
      <c r="AH64" s="33"/>
      <c r="AI64" s="455" t="s">
        <v>224</v>
      </c>
      <c r="AJ64" s="456"/>
      <c r="AK64" s="457"/>
      <c r="AL64" s="455" t="s">
        <v>136</v>
      </c>
      <c r="AM64" s="456"/>
      <c r="AN64" s="461"/>
    </row>
    <row r="65" spans="1:40" s="44" customFormat="1" ht="8.25" customHeight="1">
      <c r="A65" s="49" t="s">
        <v>304</v>
      </c>
      <c r="B65" s="51"/>
      <c r="C65" s="64"/>
      <c r="D65" s="64"/>
      <c r="E65" s="64"/>
      <c r="F65" s="64"/>
      <c r="G65" s="64"/>
      <c r="H65" s="64"/>
      <c r="I65" s="64"/>
      <c r="J65" s="64"/>
      <c r="K65" s="64"/>
      <c r="L65" s="64"/>
      <c r="M65" s="64"/>
      <c r="N65" s="65"/>
      <c r="O65" s="458"/>
      <c r="P65" s="459"/>
      <c r="Q65" s="460"/>
      <c r="R65" s="458"/>
      <c r="S65" s="459"/>
      <c r="T65" s="460"/>
      <c r="U65" s="57" t="s">
        <v>305</v>
      </c>
      <c r="V65" s="1"/>
      <c r="W65" s="1"/>
      <c r="X65" s="1"/>
      <c r="Y65" s="1"/>
      <c r="Z65" s="1"/>
      <c r="AA65" s="1"/>
      <c r="AB65" s="1"/>
      <c r="AC65" s="1"/>
      <c r="AD65" s="1"/>
      <c r="AE65" s="1"/>
      <c r="AF65" s="1"/>
      <c r="AG65" s="1"/>
      <c r="AH65" s="13"/>
      <c r="AI65" s="452"/>
      <c r="AJ65" s="453"/>
      <c r="AK65" s="454"/>
      <c r="AL65" s="452"/>
      <c r="AM65" s="453"/>
      <c r="AN65" s="462"/>
    </row>
    <row r="66" spans="1:40" s="44" customFormat="1" ht="8.25" customHeight="1">
      <c r="A66" s="53" t="s">
        <v>306</v>
      </c>
      <c r="B66" s="54"/>
      <c r="C66" s="60"/>
      <c r="D66" s="60"/>
      <c r="E66" s="60"/>
      <c r="F66" s="60"/>
      <c r="G66" s="60"/>
      <c r="H66" s="60"/>
      <c r="I66" s="60"/>
      <c r="J66" s="60"/>
      <c r="K66" s="60"/>
      <c r="L66" s="60"/>
      <c r="M66" s="60"/>
      <c r="N66" s="61"/>
      <c r="O66" s="455" t="s">
        <v>183</v>
      </c>
      <c r="P66" s="456"/>
      <c r="Q66" s="457"/>
      <c r="R66" s="455" t="s">
        <v>86</v>
      </c>
      <c r="S66" s="456"/>
      <c r="T66" s="457"/>
      <c r="U66" s="57" t="s">
        <v>307</v>
      </c>
      <c r="V66" s="1"/>
      <c r="W66" s="1"/>
      <c r="X66" s="1"/>
      <c r="Y66" s="1"/>
      <c r="Z66" s="1"/>
      <c r="AA66" s="1"/>
      <c r="AB66" s="1"/>
      <c r="AC66" s="1"/>
      <c r="AD66" s="1"/>
      <c r="AE66" s="1"/>
      <c r="AF66" s="1"/>
      <c r="AG66" s="1"/>
      <c r="AH66" s="13"/>
      <c r="AI66" s="452"/>
      <c r="AJ66" s="453"/>
      <c r="AK66" s="454"/>
      <c r="AL66" s="452"/>
      <c r="AM66" s="453"/>
      <c r="AN66" s="462"/>
    </row>
    <row r="67" spans="1:40" s="44" customFormat="1" ht="8.25" customHeight="1">
      <c r="A67" s="49" t="s">
        <v>308</v>
      </c>
      <c r="B67" s="51"/>
      <c r="C67" s="64"/>
      <c r="D67" s="64"/>
      <c r="E67" s="64"/>
      <c r="F67" s="64"/>
      <c r="G67" s="64"/>
      <c r="H67" s="64"/>
      <c r="I67" s="64"/>
      <c r="J67" s="64"/>
      <c r="K67" s="64"/>
      <c r="L67" s="64"/>
      <c r="M67" s="64"/>
      <c r="N67" s="65"/>
      <c r="O67" s="458"/>
      <c r="P67" s="459"/>
      <c r="Q67" s="460"/>
      <c r="R67" s="458"/>
      <c r="S67" s="459"/>
      <c r="T67" s="460"/>
      <c r="U67" s="57" t="s">
        <v>309</v>
      </c>
      <c r="V67" s="1"/>
      <c r="W67" s="1"/>
      <c r="X67" s="1"/>
      <c r="Y67" s="1"/>
      <c r="Z67" s="1"/>
      <c r="AA67" s="1"/>
      <c r="AB67" s="1"/>
      <c r="AC67" s="1"/>
      <c r="AD67" s="1"/>
      <c r="AE67" s="1"/>
      <c r="AF67" s="1"/>
      <c r="AG67" s="1"/>
      <c r="AH67" s="13"/>
      <c r="AI67" s="452"/>
      <c r="AJ67" s="453"/>
      <c r="AK67" s="454"/>
      <c r="AL67" s="452"/>
      <c r="AM67" s="453"/>
      <c r="AN67" s="462"/>
    </row>
    <row r="68" spans="1:40" s="44" customFormat="1" ht="8.25" customHeight="1">
      <c r="A68" s="71" t="s">
        <v>310</v>
      </c>
      <c r="B68" s="69"/>
      <c r="C68" s="72"/>
      <c r="D68" s="72"/>
      <c r="E68" s="72"/>
      <c r="F68" s="72"/>
      <c r="G68" s="72"/>
      <c r="H68" s="72"/>
      <c r="I68" s="72"/>
      <c r="J68" s="72"/>
      <c r="K68" s="72"/>
      <c r="L68" s="72"/>
      <c r="M68" s="72"/>
      <c r="N68" s="73"/>
      <c r="O68" s="465" t="s">
        <v>184</v>
      </c>
      <c r="P68" s="466"/>
      <c r="Q68" s="467"/>
      <c r="R68" s="465" t="s">
        <v>88</v>
      </c>
      <c r="S68" s="466"/>
      <c r="T68" s="467"/>
      <c r="U68" s="59" t="s">
        <v>311</v>
      </c>
      <c r="V68" s="24"/>
      <c r="W68" s="24"/>
      <c r="X68" s="24"/>
      <c r="Y68" s="24"/>
      <c r="Z68" s="24"/>
      <c r="AA68" s="24"/>
      <c r="AB68" s="24"/>
      <c r="AC68" s="24"/>
      <c r="AD68" s="24"/>
      <c r="AE68" s="24"/>
      <c r="AF68" s="24"/>
      <c r="AG68" s="24"/>
      <c r="AH68" s="36"/>
      <c r="AI68" s="458"/>
      <c r="AJ68" s="459"/>
      <c r="AK68" s="460"/>
      <c r="AL68" s="458"/>
      <c r="AM68" s="459"/>
      <c r="AN68" s="463"/>
    </row>
    <row r="69" spans="1:40" s="44" customFormat="1" ht="8.25" customHeight="1">
      <c r="A69" s="71" t="s">
        <v>312</v>
      </c>
      <c r="B69" s="69"/>
      <c r="C69" s="72"/>
      <c r="D69" s="72"/>
      <c r="E69" s="72"/>
      <c r="F69" s="72"/>
      <c r="G69" s="72"/>
      <c r="H69" s="72"/>
      <c r="I69" s="72"/>
      <c r="J69" s="72"/>
      <c r="K69" s="72"/>
      <c r="L69" s="72"/>
      <c r="M69" s="72"/>
      <c r="N69" s="73"/>
      <c r="O69" s="465" t="s">
        <v>185</v>
      </c>
      <c r="P69" s="466"/>
      <c r="Q69" s="467"/>
      <c r="R69" s="69"/>
      <c r="S69" s="69"/>
      <c r="T69" s="69"/>
      <c r="U69" s="66" t="s">
        <v>313</v>
      </c>
      <c r="V69" s="67"/>
      <c r="W69" s="67"/>
      <c r="X69" s="67"/>
      <c r="Y69" s="67"/>
      <c r="Z69" s="67"/>
      <c r="AA69" s="67"/>
      <c r="AB69" s="67"/>
      <c r="AC69" s="67"/>
      <c r="AD69" s="67"/>
      <c r="AE69" s="67"/>
      <c r="AF69" s="67"/>
      <c r="AG69" s="67"/>
      <c r="AH69" s="68"/>
      <c r="AI69" s="465"/>
      <c r="AJ69" s="466"/>
      <c r="AK69" s="467"/>
      <c r="AL69" s="465" t="s">
        <v>138</v>
      </c>
      <c r="AM69" s="466"/>
      <c r="AN69" s="468"/>
    </row>
    <row r="70" spans="1:40" s="44" customFormat="1" ht="8.25" customHeight="1">
      <c r="A70" s="53" t="s">
        <v>314</v>
      </c>
      <c r="B70" s="54"/>
      <c r="C70" s="60"/>
      <c r="D70" s="60"/>
      <c r="E70" s="60"/>
      <c r="F70" s="60"/>
      <c r="G70" s="60"/>
      <c r="H70" s="60"/>
      <c r="I70" s="60"/>
      <c r="J70" s="60"/>
      <c r="K70" s="60"/>
      <c r="L70" s="60"/>
      <c r="M70" s="60"/>
      <c r="N70" s="61"/>
      <c r="O70" s="56"/>
      <c r="P70" s="54"/>
      <c r="Q70" s="55"/>
      <c r="R70" s="54"/>
      <c r="S70" s="54"/>
      <c r="T70" s="54"/>
      <c r="U70" s="56" t="s">
        <v>315</v>
      </c>
      <c r="V70" s="32"/>
      <c r="W70" s="32"/>
      <c r="X70" s="32"/>
      <c r="Y70" s="32"/>
      <c r="Z70" s="32"/>
      <c r="AA70" s="32"/>
      <c r="AB70" s="32"/>
      <c r="AC70" s="32"/>
      <c r="AD70" s="32"/>
      <c r="AE70" s="32"/>
      <c r="AF70" s="32"/>
      <c r="AG70" s="32"/>
      <c r="AH70" s="33"/>
      <c r="AI70" s="455" t="s">
        <v>225</v>
      </c>
      <c r="AJ70" s="456"/>
      <c r="AK70" s="457"/>
      <c r="AL70" s="455" t="s">
        <v>140</v>
      </c>
      <c r="AM70" s="456"/>
      <c r="AN70" s="461"/>
    </row>
    <row r="71" spans="1:40" s="44" customFormat="1" ht="8.25" customHeight="1">
      <c r="A71" s="45" t="s">
        <v>316</v>
      </c>
      <c r="B71" s="47"/>
      <c r="C71" s="62"/>
      <c r="D71" s="62"/>
      <c r="E71" s="62"/>
      <c r="F71" s="62"/>
      <c r="G71" s="62"/>
      <c r="H71" s="62"/>
      <c r="I71" s="62"/>
      <c r="J71" s="62"/>
      <c r="K71" s="62"/>
      <c r="L71" s="62"/>
      <c r="M71" s="62"/>
      <c r="N71" s="63"/>
      <c r="O71" s="57"/>
      <c r="P71" s="47"/>
      <c r="Q71" s="48"/>
      <c r="R71" s="47"/>
      <c r="S71" s="47"/>
      <c r="T71" s="47"/>
      <c r="U71" s="59" t="s">
        <v>317</v>
      </c>
      <c r="V71" s="24"/>
      <c r="W71" s="24"/>
      <c r="X71" s="24"/>
      <c r="Y71" s="24"/>
      <c r="Z71" s="24"/>
      <c r="AA71" s="24"/>
      <c r="AB71" s="24"/>
      <c r="AC71" s="24"/>
      <c r="AD71" s="24"/>
      <c r="AE71" s="24"/>
      <c r="AF71" s="24"/>
      <c r="AG71" s="24"/>
      <c r="AH71" s="36"/>
      <c r="AI71" s="458"/>
      <c r="AJ71" s="459"/>
      <c r="AK71" s="460"/>
      <c r="AL71" s="458"/>
      <c r="AM71" s="459"/>
      <c r="AN71" s="463"/>
    </row>
    <row r="72" spans="1:40" s="44" customFormat="1" ht="8.25" customHeight="1">
      <c r="A72" s="45" t="s">
        <v>318</v>
      </c>
      <c r="B72" s="47"/>
      <c r="C72" s="62"/>
      <c r="D72" s="62"/>
      <c r="E72" s="62"/>
      <c r="F72" s="62"/>
      <c r="G72" s="62"/>
      <c r="H72" s="62"/>
      <c r="I72" s="62"/>
      <c r="J72" s="62"/>
      <c r="K72" s="62"/>
      <c r="L72" s="62"/>
      <c r="M72" s="62"/>
      <c r="N72" s="63"/>
      <c r="O72" s="57"/>
      <c r="P72" s="47"/>
      <c r="Q72" s="48"/>
      <c r="R72" s="47"/>
      <c r="S72" s="47"/>
      <c r="T72" s="47"/>
      <c r="U72" s="66" t="s">
        <v>319</v>
      </c>
      <c r="V72" s="67"/>
      <c r="W72" s="67"/>
      <c r="X72" s="67"/>
      <c r="Y72" s="67"/>
      <c r="Z72" s="67"/>
      <c r="AA72" s="67"/>
      <c r="AB72" s="67"/>
      <c r="AC72" s="67"/>
      <c r="AD72" s="67"/>
      <c r="AE72" s="67"/>
      <c r="AF72" s="67"/>
      <c r="AG72" s="67"/>
      <c r="AH72" s="68"/>
      <c r="AI72" s="465" t="s">
        <v>226</v>
      </c>
      <c r="AJ72" s="466"/>
      <c r="AK72" s="467"/>
      <c r="AL72" s="465" t="s">
        <v>142</v>
      </c>
      <c r="AM72" s="466"/>
      <c r="AN72" s="468"/>
    </row>
    <row r="73" spans="1:40" s="44" customFormat="1" ht="8.25" customHeight="1">
      <c r="A73" s="45" t="s">
        <v>320</v>
      </c>
      <c r="B73" s="47"/>
      <c r="C73" s="62"/>
      <c r="D73" s="62"/>
      <c r="E73" s="62"/>
      <c r="F73" s="62"/>
      <c r="G73" s="62"/>
      <c r="H73" s="62"/>
      <c r="I73" s="62"/>
      <c r="J73" s="62"/>
      <c r="K73" s="62"/>
      <c r="L73" s="62"/>
      <c r="M73" s="62"/>
      <c r="N73" s="63"/>
      <c r="O73" s="57"/>
      <c r="P73" s="47"/>
      <c r="Q73" s="48"/>
      <c r="R73" s="47"/>
      <c r="S73" s="47"/>
      <c r="T73" s="47"/>
      <c r="U73" s="57" t="s">
        <v>321</v>
      </c>
      <c r="V73" s="1"/>
      <c r="W73" s="1"/>
      <c r="X73" s="1"/>
      <c r="Y73" s="1"/>
      <c r="Z73" s="1"/>
      <c r="AA73" s="1"/>
      <c r="AB73" s="1"/>
      <c r="AC73" s="469">
        <v>1.4999999999999999E-2</v>
      </c>
      <c r="AD73" s="469"/>
      <c r="AE73" s="1"/>
      <c r="AF73" s="1"/>
      <c r="AG73" s="1"/>
      <c r="AH73" s="13"/>
      <c r="AI73" s="452" t="s">
        <v>322</v>
      </c>
      <c r="AJ73" s="453"/>
      <c r="AK73" s="454"/>
      <c r="AL73" s="452" t="s">
        <v>323</v>
      </c>
      <c r="AM73" s="453"/>
      <c r="AN73" s="462"/>
    </row>
    <row r="74" spans="1:40" s="44" customFormat="1" ht="8.25" customHeight="1">
      <c r="A74" s="45"/>
      <c r="B74" s="47" t="s">
        <v>246</v>
      </c>
      <c r="C74" s="62"/>
      <c r="D74" s="62"/>
      <c r="E74" s="62"/>
      <c r="F74" s="62"/>
      <c r="G74" s="62"/>
      <c r="H74" s="62"/>
      <c r="I74" s="62"/>
      <c r="J74" s="62"/>
      <c r="K74" s="62"/>
      <c r="L74" s="62"/>
      <c r="M74" s="62"/>
      <c r="N74" s="63"/>
      <c r="O74" s="452" t="s">
        <v>187</v>
      </c>
      <c r="P74" s="453"/>
      <c r="Q74" s="454"/>
      <c r="R74" s="47"/>
      <c r="S74" s="47"/>
      <c r="T74" s="47"/>
      <c r="U74" s="74"/>
      <c r="V74" s="1"/>
      <c r="W74" s="1"/>
      <c r="X74" s="1"/>
      <c r="Y74" s="1"/>
      <c r="Z74" s="1"/>
      <c r="AA74" s="1"/>
      <c r="AB74" s="1"/>
      <c r="AC74" s="470">
        <v>0.03</v>
      </c>
      <c r="AD74" s="470"/>
      <c r="AE74" s="1"/>
      <c r="AF74" s="1"/>
      <c r="AG74" s="1"/>
      <c r="AH74" s="13"/>
      <c r="AI74" s="452" t="s">
        <v>324</v>
      </c>
      <c r="AJ74" s="453"/>
      <c r="AK74" s="454"/>
      <c r="AL74" s="452" t="s">
        <v>325</v>
      </c>
      <c r="AM74" s="453"/>
      <c r="AN74" s="462"/>
    </row>
    <row r="75" spans="1:40" s="44" customFormat="1" ht="8.25" customHeight="1">
      <c r="A75" s="49"/>
      <c r="B75" s="51" t="s">
        <v>248</v>
      </c>
      <c r="C75" s="64"/>
      <c r="D75" s="64"/>
      <c r="E75" s="64"/>
      <c r="F75" s="64"/>
      <c r="G75" s="64"/>
      <c r="H75" s="64"/>
      <c r="I75" s="64"/>
      <c r="J75" s="64"/>
      <c r="K75" s="64"/>
      <c r="L75" s="64"/>
      <c r="M75" s="64"/>
      <c r="N75" s="65"/>
      <c r="O75" s="458" t="s">
        <v>189</v>
      </c>
      <c r="P75" s="459"/>
      <c r="Q75" s="460"/>
      <c r="R75" s="51"/>
      <c r="S75" s="51"/>
      <c r="T75" s="51"/>
      <c r="U75" s="75"/>
      <c r="V75" s="1"/>
      <c r="W75" s="1"/>
      <c r="X75" s="1"/>
      <c r="Y75" s="1"/>
      <c r="Z75" s="1"/>
      <c r="AA75" s="1"/>
      <c r="AB75" s="1"/>
      <c r="AC75" s="470">
        <v>0.05</v>
      </c>
      <c r="AD75" s="453"/>
      <c r="AE75" s="1"/>
      <c r="AF75" s="1"/>
      <c r="AG75" s="1"/>
      <c r="AH75" s="13"/>
      <c r="AI75" s="452" t="s">
        <v>326</v>
      </c>
      <c r="AJ75" s="453"/>
      <c r="AK75" s="454"/>
      <c r="AL75" s="452" t="s">
        <v>327</v>
      </c>
      <c r="AM75" s="453"/>
      <c r="AN75" s="462"/>
    </row>
    <row r="76" spans="1:40" s="44" customFormat="1" ht="8.25" customHeight="1">
      <c r="A76" s="53" t="s">
        <v>314</v>
      </c>
      <c r="B76" s="54"/>
      <c r="C76" s="60"/>
      <c r="D76" s="60"/>
      <c r="E76" s="60"/>
      <c r="F76" s="60"/>
      <c r="G76" s="60"/>
      <c r="H76" s="60"/>
      <c r="I76" s="60"/>
      <c r="J76" s="60"/>
      <c r="K76" s="60"/>
      <c r="L76" s="60"/>
      <c r="M76" s="60"/>
      <c r="N76" s="61"/>
      <c r="O76" s="56"/>
      <c r="P76" s="54"/>
      <c r="Q76" s="55"/>
      <c r="R76" s="54"/>
      <c r="S76" s="54"/>
      <c r="T76" s="55"/>
      <c r="U76" s="76"/>
      <c r="V76" s="24"/>
      <c r="W76" s="24"/>
      <c r="X76" s="24"/>
      <c r="Y76" s="24"/>
      <c r="Z76" s="24"/>
      <c r="AA76" s="24"/>
      <c r="AB76" s="24"/>
      <c r="AC76" s="477">
        <v>0.06</v>
      </c>
      <c r="AD76" s="459"/>
      <c r="AE76" s="24"/>
      <c r="AF76" s="24"/>
      <c r="AG76" s="24"/>
      <c r="AH76" s="36"/>
      <c r="AI76" s="458" t="s">
        <v>328</v>
      </c>
      <c r="AJ76" s="459"/>
      <c r="AK76" s="460"/>
      <c r="AL76" s="458" t="s">
        <v>329</v>
      </c>
      <c r="AM76" s="459"/>
      <c r="AN76" s="463"/>
    </row>
    <row r="77" spans="1:40" s="44" customFormat="1" ht="8.25" customHeight="1">
      <c r="A77" s="45" t="s">
        <v>330</v>
      </c>
      <c r="B77" s="47"/>
      <c r="C77" s="62"/>
      <c r="D77" s="62"/>
      <c r="E77" s="62"/>
      <c r="F77" s="62"/>
      <c r="G77" s="62"/>
      <c r="H77" s="62"/>
      <c r="I77" s="62"/>
      <c r="J77" s="62"/>
      <c r="K77" s="62"/>
      <c r="L77" s="62"/>
      <c r="M77" s="62"/>
      <c r="N77" s="63"/>
      <c r="O77" s="57"/>
      <c r="P77" s="47"/>
      <c r="Q77" s="48"/>
      <c r="R77" s="47"/>
      <c r="S77" s="47"/>
      <c r="T77" s="48"/>
      <c r="U77" s="471" t="s">
        <v>331</v>
      </c>
      <c r="V77" s="472"/>
      <c r="W77" s="472"/>
      <c r="X77" s="472"/>
      <c r="Y77" s="472"/>
      <c r="Z77" s="472"/>
      <c r="AA77" s="472"/>
      <c r="AB77" s="472"/>
      <c r="AC77" s="472"/>
      <c r="AD77" s="472"/>
      <c r="AE77" s="472"/>
      <c r="AF77" s="472"/>
      <c r="AG77" s="472"/>
      <c r="AH77" s="472"/>
      <c r="AI77" s="472"/>
      <c r="AJ77" s="472"/>
      <c r="AK77" s="472"/>
      <c r="AL77" s="472"/>
      <c r="AM77" s="472"/>
      <c r="AN77" s="473"/>
    </row>
    <row r="78" spans="1:40" s="44" customFormat="1" ht="8.25" customHeight="1">
      <c r="A78" s="45" t="s">
        <v>318</v>
      </c>
      <c r="B78" s="47"/>
      <c r="C78" s="62"/>
      <c r="D78" s="62"/>
      <c r="E78" s="62"/>
      <c r="F78" s="62"/>
      <c r="G78" s="62"/>
      <c r="H78" s="62"/>
      <c r="I78" s="62"/>
      <c r="J78" s="62"/>
      <c r="K78" s="62"/>
      <c r="L78" s="62"/>
      <c r="M78" s="62"/>
      <c r="N78" s="63"/>
      <c r="O78" s="57"/>
      <c r="P78" s="47"/>
      <c r="Q78" s="48"/>
      <c r="R78" s="47"/>
      <c r="S78" s="47"/>
      <c r="T78" s="48"/>
      <c r="U78" s="474"/>
      <c r="V78" s="475"/>
      <c r="W78" s="475"/>
      <c r="X78" s="475"/>
      <c r="Y78" s="475"/>
      <c r="Z78" s="475"/>
      <c r="AA78" s="475"/>
      <c r="AB78" s="475"/>
      <c r="AC78" s="475"/>
      <c r="AD78" s="475"/>
      <c r="AE78" s="475"/>
      <c r="AF78" s="475"/>
      <c r="AG78" s="475"/>
      <c r="AH78" s="475"/>
      <c r="AI78" s="475"/>
      <c r="AJ78" s="475"/>
      <c r="AK78" s="475"/>
      <c r="AL78" s="475"/>
      <c r="AM78" s="475"/>
      <c r="AN78" s="476"/>
    </row>
    <row r="79" spans="1:40" s="44" customFormat="1" ht="8.25" customHeight="1">
      <c r="A79" s="45" t="s">
        <v>320</v>
      </c>
      <c r="B79" s="47"/>
      <c r="C79" s="62"/>
      <c r="D79" s="62"/>
      <c r="E79" s="62"/>
      <c r="F79" s="62"/>
      <c r="G79" s="62"/>
      <c r="H79" s="62"/>
      <c r="I79" s="62"/>
      <c r="J79" s="62"/>
      <c r="K79" s="62"/>
      <c r="L79" s="62"/>
      <c r="M79" s="62"/>
      <c r="N79" s="63"/>
      <c r="O79" s="57"/>
      <c r="P79" s="47"/>
      <c r="Q79" s="48"/>
      <c r="R79" s="47"/>
      <c r="S79" s="47"/>
      <c r="T79" s="48"/>
      <c r="U79" s="56" t="s">
        <v>332</v>
      </c>
      <c r="V79" s="54"/>
      <c r="W79" s="32"/>
      <c r="X79" s="32"/>
      <c r="Y79" s="32"/>
      <c r="Z79" s="32"/>
      <c r="AA79" s="32"/>
      <c r="AB79" s="32"/>
      <c r="AC79" s="32"/>
      <c r="AD79" s="32"/>
      <c r="AE79" s="32"/>
      <c r="AF79" s="32"/>
      <c r="AG79" s="32"/>
      <c r="AH79" s="33"/>
      <c r="AI79" s="455" t="s">
        <v>333</v>
      </c>
      <c r="AJ79" s="456"/>
      <c r="AK79" s="456"/>
      <c r="AL79" s="456"/>
      <c r="AM79" s="456"/>
      <c r="AN79" s="461"/>
    </row>
    <row r="80" spans="1:40" s="44" customFormat="1" ht="8.25" customHeight="1">
      <c r="A80" s="45"/>
      <c r="B80" s="47" t="s">
        <v>251</v>
      </c>
      <c r="C80" s="62"/>
      <c r="D80" s="62"/>
      <c r="E80" s="62"/>
      <c r="F80" s="62"/>
      <c r="G80" s="62"/>
      <c r="H80" s="62"/>
      <c r="I80" s="62"/>
      <c r="J80" s="62"/>
      <c r="K80" s="62"/>
      <c r="L80" s="62"/>
      <c r="M80" s="62"/>
      <c r="N80" s="63"/>
      <c r="O80" s="452"/>
      <c r="P80" s="453"/>
      <c r="Q80" s="454"/>
      <c r="R80" s="452" t="s">
        <v>90</v>
      </c>
      <c r="S80" s="453"/>
      <c r="T80" s="454"/>
      <c r="U80" s="59" t="s">
        <v>334</v>
      </c>
      <c r="V80" s="51"/>
      <c r="W80" s="24"/>
      <c r="X80" s="24"/>
      <c r="Y80" s="24"/>
      <c r="Z80" s="24"/>
      <c r="AA80" s="24"/>
      <c r="AB80" s="24"/>
      <c r="AC80" s="24"/>
      <c r="AD80" s="24"/>
      <c r="AE80" s="24"/>
      <c r="AF80" s="24"/>
      <c r="AG80" s="24"/>
      <c r="AH80" s="36"/>
      <c r="AI80" s="458"/>
      <c r="AJ80" s="459"/>
      <c r="AK80" s="459"/>
      <c r="AL80" s="459"/>
      <c r="AM80" s="459"/>
      <c r="AN80" s="463"/>
    </row>
    <row r="81" spans="1:40" s="44" customFormat="1" ht="8.25" customHeight="1">
      <c r="A81" s="49"/>
      <c r="B81" s="51" t="s">
        <v>253</v>
      </c>
      <c r="C81" s="64"/>
      <c r="D81" s="64"/>
      <c r="E81" s="64"/>
      <c r="F81" s="64"/>
      <c r="G81" s="64"/>
      <c r="H81" s="64"/>
      <c r="I81" s="64"/>
      <c r="J81" s="64"/>
      <c r="K81" s="64"/>
      <c r="L81" s="64"/>
      <c r="M81" s="64"/>
      <c r="N81" s="65"/>
      <c r="O81" s="458"/>
      <c r="P81" s="459"/>
      <c r="Q81" s="460"/>
      <c r="R81" s="458" t="s">
        <v>92</v>
      </c>
      <c r="S81" s="459"/>
      <c r="T81" s="460"/>
      <c r="U81" s="56" t="s">
        <v>335</v>
      </c>
      <c r="V81" s="54"/>
      <c r="W81" s="32"/>
      <c r="X81" s="32"/>
      <c r="Y81" s="32"/>
      <c r="Z81" s="32"/>
      <c r="AA81" s="32"/>
      <c r="AB81" s="32"/>
      <c r="AC81" s="32"/>
      <c r="AD81" s="32"/>
      <c r="AE81" s="32"/>
      <c r="AF81" s="32"/>
      <c r="AG81" s="32"/>
      <c r="AH81" s="33"/>
      <c r="AI81" s="455" t="s">
        <v>336</v>
      </c>
      <c r="AJ81" s="456"/>
      <c r="AK81" s="456"/>
      <c r="AL81" s="456"/>
      <c r="AM81" s="456"/>
      <c r="AN81" s="461"/>
    </row>
    <row r="82" spans="1:40" s="44" customFormat="1" ht="8.25" customHeight="1">
      <c r="A82" s="53" t="s">
        <v>337</v>
      </c>
      <c r="B82" s="54"/>
      <c r="C82" s="60"/>
      <c r="D82" s="60"/>
      <c r="E82" s="60"/>
      <c r="F82" s="60"/>
      <c r="G82" s="60"/>
      <c r="H82" s="60"/>
      <c r="I82" s="60"/>
      <c r="J82" s="60"/>
      <c r="K82" s="60"/>
      <c r="L82" s="60"/>
      <c r="M82" s="60"/>
      <c r="N82" s="61"/>
      <c r="O82" s="56"/>
      <c r="P82" s="54"/>
      <c r="Q82" s="55"/>
      <c r="R82" s="54"/>
      <c r="S82" s="54"/>
      <c r="T82" s="55"/>
      <c r="U82" s="59" t="s">
        <v>334</v>
      </c>
      <c r="V82" s="51"/>
      <c r="W82" s="24"/>
      <c r="X82" s="24"/>
      <c r="Y82" s="24"/>
      <c r="Z82" s="24"/>
      <c r="AA82" s="24"/>
      <c r="AB82" s="24"/>
      <c r="AC82" s="24"/>
      <c r="AD82" s="24"/>
      <c r="AE82" s="24"/>
      <c r="AF82" s="24"/>
      <c r="AG82" s="24"/>
      <c r="AH82" s="36"/>
      <c r="AI82" s="458"/>
      <c r="AJ82" s="459"/>
      <c r="AK82" s="459"/>
      <c r="AL82" s="459"/>
      <c r="AM82" s="459"/>
      <c r="AN82" s="463"/>
    </row>
    <row r="83" spans="1:40" s="44" customFormat="1" ht="8.25" customHeight="1">
      <c r="A83" s="45" t="s">
        <v>338</v>
      </c>
      <c r="B83" s="47"/>
      <c r="C83" s="62"/>
      <c r="D83" s="62"/>
      <c r="E83" s="62"/>
      <c r="F83" s="62"/>
      <c r="G83" s="62"/>
      <c r="H83" s="62"/>
      <c r="I83" s="62"/>
      <c r="J83" s="62"/>
      <c r="K83" s="62"/>
      <c r="L83" s="62"/>
      <c r="M83" s="62"/>
      <c r="N83" s="63"/>
      <c r="O83" s="57"/>
      <c r="P83" s="47"/>
      <c r="Q83" s="48"/>
      <c r="R83" s="47"/>
      <c r="S83" s="47"/>
      <c r="T83" s="48"/>
      <c r="U83" s="56" t="s">
        <v>339</v>
      </c>
      <c r="V83" s="54"/>
      <c r="W83" s="32"/>
      <c r="X83" s="32"/>
      <c r="Y83" s="32"/>
      <c r="Z83" s="32"/>
      <c r="AA83" s="32"/>
      <c r="AB83" s="32"/>
      <c r="AC83" s="32"/>
      <c r="AD83" s="32"/>
      <c r="AE83" s="32"/>
      <c r="AF83" s="32"/>
      <c r="AG83" s="32"/>
      <c r="AH83" s="33"/>
      <c r="AI83" s="455" t="s">
        <v>340</v>
      </c>
      <c r="AJ83" s="456"/>
      <c r="AK83" s="456"/>
      <c r="AL83" s="456"/>
      <c r="AM83" s="456"/>
      <c r="AN83" s="461"/>
    </row>
    <row r="84" spans="1:40" s="44" customFormat="1" ht="8.25" customHeight="1">
      <c r="A84" s="45" t="s">
        <v>341</v>
      </c>
      <c r="B84" s="47"/>
      <c r="C84" s="62"/>
      <c r="D84" s="62"/>
      <c r="E84" s="62"/>
      <c r="F84" s="62"/>
      <c r="G84" s="62"/>
      <c r="H84" s="62"/>
      <c r="I84" s="62"/>
      <c r="J84" s="62"/>
      <c r="K84" s="62"/>
      <c r="L84" s="62"/>
      <c r="M84" s="62"/>
      <c r="N84" s="63"/>
      <c r="O84" s="57"/>
      <c r="P84" s="47"/>
      <c r="Q84" s="48"/>
      <c r="R84" s="47"/>
      <c r="S84" s="47"/>
      <c r="T84" s="48"/>
      <c r="U84" s="59" t="s">
        <v>342</v>
      </c>
      <c r="V84" s="51"/>
      <c r="W84" s="24"/>
      <c r="X84" s="24"/>
      <c r="Y84" s="24"/>
      <c r="Z84" s="24"/>
      <c r="AA84" s="24"/>
      <c r="AB84" s="24"/>
      <c r="AC84" s="24"/>
      <c r="AD84" s="24"/>
      <c r="AE84" s="24"/>
      <c r="AF84" s="24"/>
      <c r="AG84" s="24"/>
      <c r="AH84" s="36"/>
      <c r="AI84" s="458"/>
      <c r="AJ84" s="459"/>
      <c r="AK84" s="459"/>
      <c r="AL84" s="459"/>
      <c r="AM84" s="459"/>
      <c r="AN84" s="463"/>
    </row>
    <row r="85" spans="1:40" s="44" customFormat="1" ht="8.25" customHeight="1">
      <c r="A85" s="45"/>
      <c r="B85" s="47" t="s">
        <v>246</v>
      </c>
      <c r="C85" s="62"/>
      <c r="D85" s="62"/>
      <c r="E85" s="62"/>
      <c r="F85" s="62"/>
      <c r="G85" s="62"/>
      <c r="H85" s="62"/>
      <c r="I85" s="62"/>
      <c r="J85" s="62"/>
      <c r="K85" s="62"/>
      <c r="L85" s="62"/>
      <c r="M85" s="62"/>
      <c r="N85" s="63"/>
      <c r="O85" s="452" t="s">
        <v>193</v>
      </c>
      <c r="P85" s="453"/>
      <c r="Q85" s="454"/>
      <c r="R85" s="47"/>
      <c r="S85" s="47"/>
      <c r="T85" s="48"/>
      <c r="U85" s="56" t="s">
        <v>343</v>
      </c>
      <c r="V85" s="54"/>
      <c r="W85" s="32"/>
      <c r="X85" s="32"/>
      <c r="Y85" s="32"/>
      <c r="Z85" s="32"/>
      <c r="AA85" s="32"/>
      <c r="AB85" s="32"/>
      <c r="AC85" s="32"/>
      <c r="AD85" s="32"/>
      <c r="AE85" s="32"/>
      <c r="AF85" s="32"/>
      <c r="AG85" s="32"/>
      <c r="AH85" s="33"/>
      <c r="AI85" s="455" t="s">
        <v>344</v>
      </c>
      <c r="AJ85" s="456"/>
      <c r="AK85" s="456"/>
      <c r="AL85" s="456"/>
      <c r="AM85" s="456"/>
      <c r="AN85" s="461"/>
    </row>
    <row r="86" spans="1:40" s="44" customFormat="1" ht="8.25" customHeight="1">
      <c r="A86" s="49"/>
      <c r="B86" s="51" t="s">
        <v>248</v>
      </c>
      <c r="C86" s="64"/>
      <c r="D86" s="64"/>
      <c r="E86" s="64"/>
      <c r="F86" s="64"/>
      <c r="G86" s="64"/>
      <c r="H86" s="64"/>
      <c r="I86" s="64"/>
      <c r="J86" s="64"/>
      <c r="K86" s="64"/>
      <c r="L86" s="64"/>
      <c r="M86" s="64"/>
      <c r="N86" s="65"/>
      <c r="O86" s="458" t="s">
        <v>191</v>
      </c>
      <c r="P86" s="459"/>
      <c r="Q86" s="460"/>
      <c r="R86" s="51"/>
      <c r="S86" s="51"/>
      <c r="T86" s="52"/>
      <c r="U86" s="59" t="s">
        <v>345</v>
      </c>
      <c r="V86" s="24"/>
      <c r="W86" s="24"/>
      <c r="X86" s="24"/>
      <c r="Y86" s="24"/>
      <c r="Z86" s="24"/>
      <c r="AA86" s="24"/>
      <c r="AB86" s="24"/>
      <c r="AC86" s="24"/>
      <c r="AD86" s="24"/>
      <c r="AE86" s="24"/>
      <c r="AF86" s="24"/>
      <c r="AG86" s="24"/>
      <c r="AH86" s="36"/>
      <c r="AI86" s="458"/>
      <c r="AJ86" s="459"/>
      <c r="AK86" s="459"/>
      <c r="AL86" s="459"/>
      <c r="AM86" s="459"/>
      <c r="AN86" s="463"/>
    </row>
    <row r="87" spans="1:40" s="44" customFormat="1" ht="8.25" customHeight="1">
      <c r="A87" s="53" t="s">
        <v>346</v>
      </c>
      <c r="B87" s="54"/>
      <c r="C87" s="60"/>
      <c r="D87" s="60"/>
      <c r="E87" s="60"/>
      <c r="F87" s="60"/>
      <c r="G87" s="60"/>
      <c r="H87" s="60"/>
      <c r="I87" s="60"/>
      <c r="J87" s="60"/>
      <c r="K87" s="60"/>
      <c r="L87" s="60"/>
      <c r="M87" s="60"/>
      <c r="N87" s="61"/>
      <c r="O87" s="56"/>
      <c r="P87" s="54"/>
      <c r="Q87" s="55"/>
      <c r="R87" s="54"/>
      <c r="S87" s="54"/>
      <c r="T87" s="55"/>
      <c r="U87" s="77"/>
      <c r="V87" s="67"/>
      <c r="W87" s="67"/>
      <c r="X87" s="67"/>
      <c r="Y87" s="67"/>
      <c r="Z87" s="67"/>
      <c r="AA87" s="67"/>
      <c r="AB87" s="67"/>
      <c r="AC87" s="67"/>
      <c r="AD87" s="67"/>
      <c r="AE87" s="67"/>
      <c r="AF87" s="67"/>
      <c r="AG87" s="67"/>
      <c r="AH87" s="68"/>
      <c r="AI87" s="77"/>
      <c r="AJ87" s="67"/>
      <c r="AK87" s="67"/>
      <c r="AL87" s="67"/>
      <c r="AM87" s="67"/>
      <c r="AN87" s="78"/>
    </row>
    <row r="88" spans="1:40" s="44" customFormat="1" ht="8.25" customHeight="1">
      <c r="A88" s="45" t="s">
        <v>338</v>
      </c>
      <c r="B88" s="47"/>
      <c r="C88" s="62"/>
      <c r="D88" s="62"/>
      <c r="E88" s="62"/>
      <c r="F88" s="62"/>
      <c r="G88" s="62"/>
      <c r="H88" s="62"/>
      <c r="I88" s="62"/>
      <c r="J88" s="62"/>
      <c r="K88" s="62"/>
      <c r="L88" s="62"/>
      <c r="M88" s="62"/>
      <c r="N88" s="63"/>
      <c r="O88" s="57"/>
      <c r="P88" s="47"/>
      <c r="Q88" s="48"/>
      <c r="R88" s="47"/>
      <c r="S88" s="47"/>
      <c r="T88" s="48"/>
      <c r="U88" s="77"/>
      <c r="V88" s="67"/>
      <c r="W88" s="67"/>
      <c r="X88" s="67"/>
      <c r="Y88" s="67"/>
      <c r="Z88" s="67"/>
      <c r="AA88" s="67"/>
      <c r="AB88" s="67"/>
      <c r="AC88" s="67"/>
      <c r="AD88" s="67"/>
      <c r="AE88" s="67"/>
      <c r="AF88" s="67"/>
      <c r="AG88" s="67"/>
      <c r="AH88" s="68"/>
      <c r="AI88" s="77"/>
      <c r="AJ88" s="67"/>
      <c r="AK88" s="67"/>
      <c r="AL88" s="67"/>
      <c r="AM88" s="67"/>
      <c r="AN88" s="78"/>
    </row>
    <row r="89" spans="1:40" s="44" customFormat="1" ht="8.25" customHeight="1">
      <c r="A89" s="45" t="s">
        <v>347</v>
      </c>
      <c r="B89" s="47"/>
      <c r="C89" s="62"/>
      <c r="D89" s="62"/>
      <c r="E89" s="62"/>
      <c r="F89" s="62"/>
      <c r="G89" s="62"/>
      <c r="H89" s="62"/>
      <c r="I89" s="62"/>
      <c r="J89" s="62"/>
      <c r="K89" s="62"/>
      <c r="L89" s="62"/>
      <c r="M89" s="62"/>
      <c r="N89" s="63"/>
      <c r="O89" s="57"/>
      <c r="P89" s="47"/>
      <c r="Q89" s="48"/>
      <c r="R89" s="47"/>
      <c r="S89" s="47"/>
      <c r="T89" s="48"/>
      <c r="U89" s="77"/>
      <c r="V89" s="67"/>
      <c r="W89" s="67"/>
      <c r="X89" s="67"/>
      <c r="Y89" s="67"/>
      <c r="Z89" s="67"/>
      <c r="AA89" s="67"/>
      <c r="AB89" s="67"/>
      <c r="AC89" s="67"/>
      <c r="AD89" s="67"/>
      <c r="AE89" s="67"/>
      <c r="AF89" s="67"/>
      <c r="AG89" s="67"/>
      <c r="AH89" s="68"/>
      <c r="AI89" s="77"/>
      <c r="AJ89" s="67"/>
      <c r="AK89" s="67"/>
      <c r="AL89" s="67"/>
      <c r="AM89" s="67"/>
      <c r="AN89" s="78"/>
    </row>
    <row r="90" spans="1:40" s="44" customFormat="1" ht="8.25" customHeight="1">
      <c r="A90" s="45"/>
      <c r="B90" s="47" t="s">
        <v>251</v>
      </c>
      <c r="C90" s="62"/>
      <c r="D90" s="62"/>
      <c r="E90" s="62"/>
      <c r="F90" s="62"/>
      <c r="G90" s="62"/>
      <c r="H90" s="62"/>
      <c r="I90" s="62"/>
      <c r="J90" s="62"/>
      <c r="K90" s="62"/>
      <c r="L90" s="62"/>
      <c r="M90" s="62"/>
      <c r="N90" s="63"/>
      <c r="O90" s="452"/>
      <c r="P90" s="453"/>
      <c r="Q90" s="454"/>
      <c r="R90" s="452" t="s">
        <v>96</v>
      </c>
      <c r="S90" s="453"/>
      <c r="T90" s="454"/>
      <c r="U90" s="77"/>
      <c r="V90" s="67"/>
      <c r="W90" s="67"/>
      <c r="X90" s="67"/>
      <c r="Y90" s="67"/>
      <c r="Z90" s="67"/>
      <c r="AA90" s="67"/>
      <c r="AB90" s="67"/>
      <c r="AC90" s="67"/>
      <c r="AD90" s="67"/>
      <c r="AE90" s="67"/>
      <c r="AF90" s="67"/>
      <c r="AG90" s="67"/>
      <c r="AH90" s="68"/>
      <c r="AI90" s="77"/>
      <c r="AJ90" s="67"/>
      <c r="AK90" s="67"/>
      <c r="AL90" s="67"/>
      <c r="AM90" s="67"/>
      <c r="AN90" s="78"/>
    </row>
    <row r="91" spans="1:40" s="44" customFormat="1" ht="8.25" customHeight="1" thickBot="1">
      <c r="A91" s="79"/>
      <c r="B91" s="80" t="s">
        <v>253</v>
      </c>
      <c r="C91" s="81"/>
      <c r="D91" s="81"/>
      <c r="E91" s="81"/>
      <c r="F91" s="81"/>
      <c r="G91" s="81"/>
      <c r="H91" s="81"/>
      <c r="I91" s="81"/>
      <c r="J91" s="81"/>
      <c r="K91" s="81"/>
      <c r="L91" s="81"/>
      <c r="M91" s="81"/>
      <c r="N91" s="82"/>
      <c r="O91" s="478"/>
      <c r="P91" s="479"/>
      <c r="Q91" s="480"/>
      <c r="R91" s="478" t="s">
        <v>94</v>
      </c>
      <c r="S91" s="479"/>
      <c r="T91" s="480"/>
      <c r="U91" s="83"/>
      <c r="V91" s="15"/>
      <c r="W91" s="15"/>
      <c r="X91" s="15"/>
      <c r="Y91" s="15"/>
      <c r="Z91" s="15"/>
      <c r="AA91" s="15"/>
      <c r="AB91" s="15"/>
      <c r="AC91" s="15"/>
      <c r="AD91" s="15"/>
      <c r="AE91" s="15"/>
      <c r="AF91" s="15"/>
      <c r="AG91" s="15"/>
      <c r="AH91" s="16"/>
      <c r="AI91" s="83"/>
      <c r="AJ91" s="15"/>
      <c r="AK91" s="15"/>
      <c r="AL91" s="15"/>
      <c r="AM91" s="15"/>
      <c r="AN91" s="30"/>
    </row>
    <row r="92" spans="1:40" ht="11.25" customHeight="1" thickBot="1">
      <c r="A92" s="481" t="s">
        <v>348</v>
      </c>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c r="AA92" s="482"/>
      <c r="AB92" s="482"/>
      <c r="AC92" s="482"/>
      <c r="AD92" s="482"/>
      <c r="AE92" s="482"/>
      <c r="AF92" s="482"/>
      <c r="AG92" s="482"/>
      <c r="AH92" s="482"/>
      <c r="AI92" s="482"/>
      <c r="AJ92" s="482"/>
      <c r="AK92" s="482"/>
      <c r="AL92" s="482"/>
      <c r="AM92" s="482"/>
      <c r="AN92" s="483"/>
    </row>
    <row r="93" spans="1:40" ht="8.25" customHeight="1">
      <c r="A93" s="84" t="s">
        <v>349</v>
      </c>
      <c r="B93" s="85"/>
      <c r="C93" s="86"/>
      <c r="D93" s="86"/>
      <c r="E93" s="86"/>
      <c r="F93" s="86"/>
      <c r="G93" s="86"/>
      <c r="H93" s="86"/>
      <c r="I93" s="86"/>
      <c r="J93" s="86"/>
      <c r="K93" s="86"/>
      <c r="L93" s="86"/>
      <c r="M93" s="86"/>
      <c r="N93" s="86"/>
      <c r="O93" s="86"/>
      <c r="P93" s="86"/>
      <c r="Q93" s="87"/>
      <c r="R93" s="484" t="s">
        <v>350</v>
      </c>
      <c r="S93" s="485"/>
      <c r="T93" s="486"/>
      <c r="U93" s="41" t="s">
        <v>351</v>
      </c>
      <c r="V93" s="39"/>
      <c r="W93" s="22"/>
      <c r="X93" s="22"/>
      <c r="Y93" s="22"/>
      <c r="Z93" s="22"/>
      <c r="AA93" s="22"/>
      <c r="AB93" s="22"/>
      <c r="AC93" s="22"/>
      <c r="AD93" s="22"/>
      <c r="AE93" s="22"/>
      <c r="AF93" s="22"/>
      <c r="AG93" s="22"/>
      <c r="AH93" s="22"/>
      <c r="AI93" s="22"/>
      <c r="AJ93" s="22"/>
      <c r="AK93" s="42"/>
      <c r="AL93" s="22"/>
      <c r="AM93" s="22"/>
      <c r="AN93" s="23"/>
    </row>
    <row r="94" spans="1:40" ht="8.25" customHeight="1">
      <c r="A94" s="71" t="s">
        <v>352</v>
      </c>
      <c r="B94" s="69"/>
      <c r="C94" s="72"/>
      <c r="D94" s="72"/>
      <c r="E94" s="72"/>
      <c r="F94" s="72"/>
      <c r="G94" s="72"/>
      <c r="H94" s="72"/>
      <c r="I94" s="72"/>
      <c r="J94" s="72"/>
      <c r="K94" s="72"/>
      <c r="L94" s="72"/>
      <c r="M94" s="72"/>
      <c r="N94" s="72"/>
      <c r="O94" s="72"/>
      <c r="P94" s="72"/>
      <c r="Q94" s="73"/>
      <c r="R94" s="487" t="s">
        <v>353</v>
      </c>
      <c r="S94" s="488"/>
      <c r="T94" s="489"/>
      <c r="U94" s="57" t="s">
        <v>354</v>
      </c>
      <c r="V94" s="47"/>
      <c r="AK94" s="13"/>
      <c r="AN94" s="18"/>
    </row>
    <row r="95" spans="1:40" ht="8.25" customHeight="1">
      <c r="A95" s="53" t="s">
        <v>355</v>
      </c>
      <c r="B95" s="54"/>
      <c r="C95" s="60"/>
      <c r="D95" s="60"/>
      <c r="E95" s="60"/>
      <c r="F95" s="60"/>
      <c r="G95" s="60"/>
      <c r="H95" s="60"/>
      <c r="I95" s="60"/>
      <c r="J95" s="60"/>
      <c r="K95" s="60"/>
      <c r="L95" s="60"/>
      <c r="M95" s="60"/>
      <c r="N95" s="60"/>
      <c r="O95" s="60"/>
      <c r="P95" s="60"/>
      <c r="Q95" s="61"/>
      <c r="R95" s="490" t="s">
        <v>356</v>
      </c>
      <c r="S95" s="491"/>
      <c r="T95" s="492"/>
      <c r="U95" s="57" t="s">
        <v>357</v>
      </c>
      <c r="V95" s="47" t="s">
        <v>358</v>
      </c>
      <c r="AK95" s="13"/>
      <c r="AN95" s="18"/>
    </row>
    <row r="96" spans="1:40" ht="8.25" customHeight="1">
      <c r="A96" s="49" t="s">
        <v>359</v>
      </c>
      <c r="B96" s="51"/>
      <c r="C96" s="64"/>
      <c r="D96" s="64"/>
      <c r="E96" s="64"/>
      <c r="F96" s="64"/>
      <c r="G96" s="64"/>
      <c r="H96" s="64"/>
      <c r="I96" s="64"/>
      <c r="J96" s="64"/>
      <c r="K96" s="64"/>
      <c r="L96" s="64"/>
      <c r="M96" s="64"/>
      <c r="N96" s="64"/>
      <c r="O96" s="64"/>
      <c r="P96" s="64"/>
      <c r="Q96" s="65"/>
      <c r="R96" s="493"/>
      <c r="S96" s="494"/>
      <c r="T96" s="495"/>
      <c r="U96" s="57" t="s">
        <v>360</v>
      </c>
      <c r="V96" s="47"/>
      <c r="AK96" s="13"/>
      <c r="AN96" s="18"/>
    </row>
    <row r="97" spans="1:40" ht="8.25" customHeight="1">
      <c r="A97" s="71" t="s">
        <v>361</v>
      </c>
      <c r="B97" s="69"/>
      <c r="C97" s="72"/>
      <c r="D97" s="72"/>
      <c r="E97" s="72"/>
      <c r="F97" s="72"/>
      <c r="G97" s="72"/>
      <c r="H97" s="72"/>
      <c r="I97" s="72"/>
      <c r="J97" s="72"/>
      <c r="K97" s="72"/>
      <c r="L97" s="72"/>
      <c r="M97" s="72"/>
      <c r="N97" s="72"/>
      <c r="O97" s="72"/>
      <c r="P97" s="72"/>
      <c r="Q97" s="73"/>
      <c r="R97" s="487" t="s">
        <v>362</v>
      </c>
      <c r="S97" s="488"/>
      <c r="T97" s="489"/>
      <c r="U97" s="57" t="s">
        <v>363</v>
      </c>
      <c r="V97" s="47"/>
      <c r="AK97" s="13"/>
      <c r="AN97" s="18"/>
    </row>
    <row r="98" spans="1:40" ht="8.25" customHeight="1">
      <c r="A98" s="71" t="s">
        <v>364</v>
      </c>
      <c r="B98" s="69"/>
      <c r="C98" s="72"/>
      <c r="D98" s="72"/>
      <c r="E98" s="72"/>
      <c r="F98" s="72"/>
      <c r="G98" s="72"/>
      <c r="H98" s="72"/>
      <c r="I98" s="72"/>
      <c r="J98" s="72"/>
      <c r="K98" s="72"/>
      <c r="L98" s="72"/>
      <c r="M98" s="72"/>
      <c r="N98" s="72"/>
      <c r="O98" s="72"/>
      <c r="P98" s="72"/>
      <c r="Q98" s="73"/>
      <c r="R98" s="506" t="s">
        <v>365</v>
      </c>
      <c r="S98" s="506"/>
      <c r="T98" s="507"/>
      <c r="U98" s="88" t="s">
        <v>12</v>
      </c>
      <c r="V98" s="47" t="s">
        <v>366</v>
      </c>
      <c r="AH98" s="89">
        <v>0.05</v>
      </c>
      <c r="AK98" s="13"/>
      <c r="AL98" s="506" t="s">
        <v>367</v>
      </c>
      <c r="AM98" s="506"/>
      <c r="AN98" s="508"/>
    </row>
    <row r="99" spans="1:40" ht="8.25" customHeight="1">
      <c r="A99" s="53" t="s">
        <v>368</v>
      </c>
      <c r="B99" s="54"/>
      <c r="C99" s="60"/>
      <c r="D99" s="60"/>
      <c r="E99" s="60"/>
      <c r="F99" s="60"/>
      <c r="G99" s="60"/>
      <c r="H99" s="60"/>
      <c r="I99" s="60"/>
      <c r="J99" s="60"/>
      <c r="K99" s="60"/>
      <c r="L99" s="60"/>
      <c r="M99" s="60"/>
      <c r="N99" s="60"/>
      <c r="O99" s="60"/>
      <c r="P99" s="60"/>
      <c r="Q99" s="61"/>
      <c r="R99" s="90"/>
      <c r="S99" s="60"/>
      <c r="T99" s="61"/>
      <c r="U99" s="88" t="s">
        <v>12</v>
      </c>
      <c r="V99" s="47" t="s">
        <v>369</v>
      </c>
      <c r="AH99" s="89">
        <v>0.01</v>
      </c>
      <c r="AK99" s="13"/>
      <c r="AL99" s="506" t="s">
        <v>370</v>
      </c>
      <c r="AM99" s="506"/>
      <c r="AN99" s="508"/>
    </row>
    <row r="100" spans="1:40" ht="8.25" customHeight="1">
      <c r="A100" s="45" t="s">
        <v>371</v>
      </c>
      <c r="B100" s="47"/>
      <c r="C100" s="62"/>
      <c r="D100" s="62"/>
      <c r="E100" s="62"/>
      <c r="F100" s="62"/>
      <c r="G100" s="62"/>
      <c r="H100" s="62"/>
      <c r="I100" s="62"/>
      <c r="J100" s="62"/>
      <c r="K100" s="62"/>
      <c r="L100" s="62"/>
      <c r="M100" s="62"/>
      <c r="N100" s="62"/>
      <c r="O100" s="62"/>
      <c r="P100" s="62"/>
      <c r="Q100" s="63"/>
      <c r="R100" s="91"/>
      <c r="S100" s="62"/>
      <c r="T100" s="63"/>
      <c r="U100" s="59" t="s">
        <v>372</v>
      </c>
      <c r="V100" s="51" t="s">
        <v>373</v>
      </c>
      <c r="W100" s="24"/>
      <c r="X100" s="24"/>
      <c r="Y100" s="24"/>
      <c r="Z100" s="24"/>
      <c r="AA100" s="24"/>
      <c r="AB100" s="24"/>
      <c r="AC100" s="24"/>
      <c r="AD100" s="24"/>
      <c r="AE100" s="24"/>
      <c r="AF100" s="24"/>
      <c r="AG100" s="24"/>
      <c r="AH100" s="92">
        <v>0.05</v>
      </c>
      <c r="AI100" s="24"/>
      <c r="AJ100" s="24"/>
      <c r="AK100" s="36"/>
      <c r="AL100" s="506" t="s">
        <v>374</v>
      </c>
      <c r="AM100" s="506"/>
      <c r="AN100" s="508"/>
    </row>
    <row r="101" spans="1:40" ht="8.25" customHeight="1">
      <c r="A101" s="45" t="s">
        <v>375</v>
      </c>
      <c r="B101" s="47"/>
      <c r="C101" s="62"/>
      <c r="D101" s="62"/>
      <c r="E101" s="62"/>
      <c r="F101" s="62"/>
      <c r="G101" s="62"/>
      <c r="H101" s="62"/>
      <c r="I101" s="62"/>
      <c r="J101" s="62"/>
      <c r="K101" s="62"/>
      <c r="L101" s="62"/>
      <c r="M101" s="62"/>
      <c r="N101" s="62"/>
      <c r="O101" s="62"/>
      <c r="P101" s="62"/>
      <c r="Q101" s="63"/>
      <c r="R101" s="91"/>
      <c r="S101" s="62"/>
      <c r="T101" s="63"/>
      <c r="U101" s="59" t="s">
        <v>376</v>
      </c>
      <c r="V101" s="51"/>
      <c r="W101" s="24"/>
      <c r="X101" s="24"/>
      <c r="Y101" s="24"/>
      <c r="Z101" s="24"/>
      <c r="AA101" s="24"/>
      <c r="AB101" s="24"/>
      <c r="AC101" s="24"/>
      <c r="AD101" s="24"/>
      <c r="AE101" s="24"/>
      <c r="AF101" s="24"/>
      <c r="AG101" s="24"/>
      <c r="AH101" s="24"/>
      <c r="AI101" s="24"/>
      <c r="AJ101" s="24"/>
      <c r="AK101" s="36"/>
      <c r="AL101" s="465" t="s">
        <v>377</v>
      </c>
      <c r="AM101" s="466"/>
      <c r="AN101" s="468"/>
    </row>
    <row r="102" spans="1:40" ht="8.25" customHeight="1">
      <c r="A102" s="93" t="s">
        <v>12</v>
      </c>
      <c r="B102" s="47" t="s">
        <v>366</v>
      </c>
      <c r="C102" s="62"/>
      <c r="D102" s="62"/>
      <c r="E102" s="62"/>
      <c r="F102" s="62"/>
      <c r="G102" s="62"/>
      <c r="H102" s="62"/>
      <c r="I102" s="62"/>
      <c r="J102" s="62"/>
      <c r="K102" s="62"/>
      <c r="L102" s="62"/>
      <c r="M102" s="62"/>
      <c r="N102" s="89"/>
      <c r="O102" s="89">
        <v>0.05</v>
      </c>
      <c r="P102" s="62"/>
      <c r="Q102" s="63"/>
      <c r="R102" s="496" t="s">
        <v>378</v>
      </c>
      <c r="S102" s="497"/>
      <c r="T102" s="498"/>
      <c r="U102" s="57" t="s">
        <v>379</v>
      </c>
      <c r="V102" s="47"/>
      <c r="AK102" s="13"/>
      <c r="AL102" s="455" t="s">
        <v>380</v>
      </c>
      <c r="AM102" s="456"/>
      <c r="AN102" s="461"/>
    </row>
    <row r="103" spans="1:40" ht="8.25" customHeight="1">
      <c r="A103" s="93" t="s">
        <v>12</v>
      </c>
      <c r="B103" s="47" t="s">
        <v>369</v>
      </c>
      <c r="C103" s="62"/>
      <c r="D103" s="62"/>
      <c r="E103" s="62"/>
      <c r="F103" s="62"/>
      <c r="G103" s="62"/>
      <c r="H103" s="62"/>
      <c r="I103" s="62"/>
      <c r="J103" s="62"/>
      <c r="K103" s="62"/>
      <c r="L103" s="62"/>
      <c r="M103" s="62"/>
      <c r="N103" s="47"/>
      <c r="O103" s="89">
        <v>0.01</v>
      </c>
      <c r="P103" s="62"/>
      <c r="Q103" s="63"/>
      <c r="R103" s="487" t="s">
        <v>381</v>
      </c>
      <c r="S103" s="488"/>
      <c r="T103" s="489"/>
      <c r="U103" s="57" t="s">
        <v>382</v>
      </c>
      <c r="V103" s="47"/>
      <c r="AK103" s="13"/>
      <c r="AL103" s="458"/>
      <c r="AM103" s="459"/>
      <c r="AN103" s="463"/>
    </row>
    <row r="104" spans="1:40" ht="8.25" customHeight="1">
      <c r="A104" s="45" t="s">
        <v>383</v>
      </c>
      <c r="B104" s="47"/>
      <c r="C104" s="62"/>
      <c r="D104" s="62"/>
      <c r="E104" s="62"/>
      <c r="F104" s="62"/>
      <c r="G104" s="62"/>
      <c r="H104" s="62"/>
      <c r="I104" s="62"/>
      <c r="J104" s="62"/>
      <c r="K104" s="62"/>
      <c r="L104" s="62"/>
      <c r="M104" s="62"/>
      <c r="N104" s="47"/>
      <c r="O104" s="89">
        <v>0</v>
      </c>
      <c r="P104" s="62"/>
      <c r="Q104" s="63"/>
      <c r="R104" s="487" t="s">
        <v>384</v>
      </c>
      <c r="S104" s="488"/>
      <c r="T104" s="489"/>
      <c r="U104" s="66" t="s">
        <v>385</v>
      </c>
      <c r="V104" s="69"/>
      <c r="W104" s="67"/>
      <c r="X104" s="67"/>
      <c r="Y104" s="67"/>
      <c r="Z104" s="67"/>
      <c r="AA104" s="67"/>
      <c r="AB104" s="67"/>
      <c r="AC104" s="67"/>
      <c r="AD104" s="67"/>
      <c r="AE104" s="67"/>
      <c r="AF104" s="67"/>
      <c r="AG104" s="67"/>
      <c r="AH104" s="67"/>
      <c r="AI104" s="67"/>
      <c r="AJ104" s="67"/>
      <c r="AK104" s="68"/>
      <c r="AL104" s="487" t="s">
        <v>386</v>
      </c>
      <c r="AM104" s="488"/>
      <c r="AN104" s="499"/>
    </row>
    <row r="105" spans="1:40" ht="8.25" customHeight="1">
      <c r="A105" s="45" t="s">
        <v>387</v>
      </c>
      <c r="B105" s="47"/>
      <c r="C105" s="62"/>
      <c r="D105" s="62"/>
      <c r="E105" s="62"/>
      <c r="F105" s="62"/>
      <c r="G105" s="62"/>
      <c r="H105" s="62"/>
      <c r="I105" s="62"/>
      <c r="J105" s="62"/>
      <c r="K105" s="62"/>
      <c r="L105" s="62"/>
      <c r="M105" s="62"/>
      <c r="N105" s="47"/>
      <c r="O105" s="47"/>
      <c r="P105" s="62"/>
      <c r="Q105" s="63"/>
      <c r="R105" s="500" t="s">
        <v>388</v>
      </c>
      <c r="S105" s="501"/>
      <c r="T105" s="502"/>
      <c r="U105" s="66" t="s">
        <v>389</v>
      </c>
      <c r="V105" s="69"/>
      <c r="W105" s="67"/>
      <c r="X105" s="67"/>
      <c r="Y105" s="67"/>
      <c r="Z105" s="67"/>
      <c r="AA105" s="67"/>
      <c r="AB105" s="67"/>
      <c r="AC105" s="67"/>
      <c r="AD105" s="67"/>
      <c r="AE105" s="67"/>
      <c r="AF105" s="67"/>
      <c r="AG105" s="67"/>
      <c r="AH105" s="67"/>
      <c r="AI105" s="67"/>
      <c r="AJ105" s="67"/>
      <c r="AK105" s="68"/>
      <c r="AL105" s="487" t="s">
        <v>390</v>
      </c>
      <c r="AM105" s="488"/>
      <c r="AN105" s="499"/>
    </row>
    <row r="106" spans="1:40" ht="8.25" customHeight="1">
      <c r="A106" s="45" t="s">
        <v>391</v>
      </c>
      <c r="B106" s="47"/>
      <c r="C106" s="62"/>
      <c r="D106" s="62"/>
      <c r="E106" s="62"/>
      <c r="F106" s="62"/>
      <c r="G106" s="62"/>
      <c r="H106" s="62"/>
      <c r="I106" s="62"/>
      <c r="J106" s="62"/>
      <c r="K106" s="62"/>
      <c r="L106" s="62"/>
      <c r="M106" s="62"/>
      <c r="N106" s="47"/>
      <c r="O106" s="89">
        <v>7.0000000000000007E-2</v>
      </c>
      <c r="P106" s="62"/>
      <c r="Q106" s="63"/>
      <c r="R106" s="503"/>
      <c r="S106" s="504"/>
      <c r="T106" s="505"/>
      <c r="U106" s="66" t="s">
        <v>392</v>
      </c>
      <c r="V106" s="69"/>
      <c r="W106" s="67"/>
      <c r="X106" s="67"/>
      <c r="Y106" s="67"/>
      <c r="Z106" s="67"/>
      <c r="AA106" s="67"/>
      <c r="AB106" s="67"/>
      <c r="AC106" s="67"/>
      <c r="AD106" s="67"/>
      <c r="AE106" s="67"/>
      <c r="AF106" s="67"/>
      <c r="AG106" s="67"/>
      <c r="AH106" s="67"/>
      <c r="AI106" s="67"/>
      <c r="AJ106" s="67"/>
      <c r="AK106" s="68"/>
      <c r="AL106" s="487" t="s">
        <v>393</v>
      </c>
      <c r="AM106" s="488"/>
      <c r="AN106" s="499"/>
    </row>
    <row r="107" spans="1:40" ht="8.25" customHeight="1">
      <c r="A107" s="45" t="s">
        <v>394</v>
      </c>
      <c r="B107" s="47"/>
      <c r="C107" s="62"/>
      <c r="D107" s="62"/>
      <c r="E107" s="62"/>
      <c r="F107" s="62"/>
      <c r="G107" s="62"/>
      <c r="H107" s="62"/>
      <c r="I107" s="62"/>
      <c r="J107" s="62"/>
      <c r="K107" s="62"/>
      <c r="L107" s="62"/>
      <c r="M107" s="62"/>
      <c r="N107" s="47"/>
      <c r="O107" s="47"/>
      <c r="P107" s="62"/>
      <c r="Q107" s="63"/>
      <c r="R107" s="500" t="s">
        <v>395</v>
      </c>
      <c r="S107" s="501"/>
      <c r="T107" s="502"/>
      <c r="U107" s="66" t="s">
        <v>396</v>
      </c>
      <c r="V107" s="69"/>
      <c r="W107" s="67"/>
      <c r="X107" s="67"/>
      <c r="Y107" s="67"/>
      <c r="Z107" s="67"/>
      <c r="AA107" s="67"/>
      <c r="AB107" s="67"/>
      <c r="AC107" s="67"/>
      <c r="AD107" s="67"/>
      <c r="AE107" s="67"/>
      <c r="AF107" s="67"/>
      <c r="AG107" s="67"/>
      <c r="AH107" s="67"/>
      <c r="AI107" s="67"/>
      <c r="AJ107" s="67"/>
      <c r="AK107" s="68"/>
      <c r="AL107" s="506" t="s">
        <v>397</v>
      </c>
      <c r="AM107" s="506"/>
      <c r="AN107" s="508"/>
    </row>
    <row r="108" spans="1:40" ht="8.25" customHeight="1">
      <c r="A108" s="49" t="s">
        <v>398</v>
      </c>
      <c r="B108" s="51"/>
      <c r="C108" s="64"/>
      <c r="D108" s="64"/>
      <c r="E108" s="64"/>
      <c r="F108" s="64"/>
      <c r="G108" s="64"/>
      <c r="H108" s="64"/>
      <c r="I108" s="64"/>
      <c r="J108" s="64"/>
      <c r="K108" s="64"/>
      <c r="L108" s="64"/>
      <c r="M108" s="64"/>
      <c r="N108" s="51"/>
      <c r="O108" s="92">
        <v>7.0000000000000007E-2</v>
      </c>
      <c r="P108" s="64"/>
      <c r="Q108" s="65"/>
      <c r="R108" s="503"/>
      <c r="S108" s="504"/>
      <c r="T108" s="505"/>
      <c r="U108" s="56" t="s">
        <v>399</v>
      </c>
      <c r="V108" s="54"/>
      <c r="W108" s="32"/>
      <c r="X108" s="32"/>
      <c r="Y108" s="32"/>
      <c r="Z108" s="32"/>
      <c r="AA108" s="32"/>
      <c r="AB108" s="32"/>
      <c r="AC108" s="32"/>
      <c r="AD108" s="32"/>
      <c r="AE108" s="32"/>
      <c r="AF108" s="32"/>
      <c r="AG108" s="32"/>
      <c r="AH108" s="32"/>
      <c r="AI108" s="32"/>
      <c r="AJ108" s="32"/>
      <c r="AK108" s="33"/>
      <c r="AL108" s="56"/>
      <c r="AM108" s="54"/>
      <c r="AN108" s="58"/>
    </row>
    <row r="109" spans="1:40" ht="8.25" customHeight="1">
      <c r="A109" s="71" t="s">
        <v>400</v>
      </c>
      <c r="B109" s="69"/>
      <c r="C109" s="72"/>
      <c r="D109" s="72"/>
      <c r="E109" s="72"/>
      <c r="F109" s="72"/>
      <c r="G109" s="72"/>
      <c r="H109" s="72"/>
      <c r="I109" s="72"/>
      <c r="J109" s="72"/>
      <c r="K109" s="72"/>
      <c r="L109" s="72"/>
      <c r="M109" s="72"/>
      <c r="N109" s="72"/>
      <c r="O109" s="72"/>
      <c r="P109" s="72"/>
      <c r="Q109" s="73"/>
      <c r="R109" s="487" t="s">
        <v>401</v>
      </c>
      <c r="S109" s="488"/>
      <c r="T109" s="489"/>
      <c r="U109" s="88" t="s">
        <v>12</v>
      </c>
      <c r="V109" s="47" t="s">
        <v>402</v>
      </c>
      <c r="AH109" s="89">
        <v>0.04</v>
      </c>
      <c r="AK109" s="13"/>
      <c r="AL109" s="512" t="s">
        <v>403</v>
      </c>
      <c r="AM109" s="506"/>
      <c r="AN109" s="508"/>
    </row>
    <row r="110" spans="1:40" ht="8.25" customHeight="1">
      <c r="A110" s="71" t="s">
        <v>404</v>
      </c>
      <c r="B110" s="69"/>
      <c r="C110" s="72"/>
      <c r="D110" s="72"/>
      <c r="E110" s="72"/>
      <c r="F110" s="72"/>
      <c r="G110" s="72"/>
      <c r="H110" s="72"/>
      <c r="I110" s="72"/>
      <c r="J110" s="72"/>
      <c r="K110" s="72"/>
      <c r="L110" s="72"/>
      <c r="M110" s="72"/>
      <c r="N110" s="72"/>
      <c r="O110" s="72"/>
      <c r="P110" s="72"/>
      <c r="Q110" s="73"/>
      <c r="R110" s="487" t="s">
        <v>405</v>
      </c>
      <c r="S110" s="488"/>
      <c r="T110" s="489"/>
      <c r="U110" s="88" t="s">
        <v>12</v>
      </c>
      <c r="V110" s="47" t="s">
        <v>406</v>
      </c>
      <c r="AH110" s="89">
        <v>0.02</v>
      </c>
      <c r="AK110" s="13"/>
      <c r="AL110" s="512" t="s">
        <v>407</v>
      </c>
      <c r="AM110" s="506"/>
      <c r="AN110" s="508"/>
    </row>
    <row r="111" spans="1:40" ht="8.25" customHeight="1">
      <c r="A111" s="71" t="s">
        <v>408</v>
      </c>
      <c r="B111" s="69"/>
      <c r="C111" s="72"/>
      <c r="D111" s="72"/>
      <c r="E111" s="72"/>
      <c r="F111" s="72"/>
      <c r="G111" s="72"/>
      <c r="H111" s="72"/>
      <c r="I111" s="72"/>
      <c r="J111" s="72"/>
      <c r="K111" s="72"/>
      <c r="L111" s="72"/>
      <c r="M111" s="72"/>
      <c r="N111" s="72"/>
      <c r="O111" s="72"/>
      <c r="P111" s="72"/>
      <c r="Q111" s="73"/>
      <c r="R111" s="487" t="s">
        <v>409</v>
      </c>
      <c r="S111" s="488"/>
      <c r="T111" s="489"/>
      <c r="U111" s="94" t="s">
        <v>12</v>
      </c>
      <c r="V111" s="51" t="s">
        <v>410</v>
      </c>
      <c r="W111" s="24"/>
      <c r="X111" s="24"/>
      <c r="Y111" s="24"/>
      <c r="Z111" s="24"/>
      <c r="AA111" s="24"/>
      <c r="AB111" s="24"/>
      <c r="AC111" s="24"/>
      <c r="AD111" s="24"/>
      <c r="AE111" s="24"/>
      <c r="AF111" s="24"/>
      <c r="AG111" s="24"/>
      <c r="AH111" s="92">
        <v>0.01</v>
      </c>
      <c r="AI111" s="24"/>
      <c r="AJ111" s="24"/>
      <c r="AK111" s="36"/>
      <c r="AL111" s="496" t="s">
        <v>411</v>
      </c>
      <c r="AM111" s="497"/>
      <c r="AN111" s="509"/>
    </row>
    <row r="112" spans="1:40" ht="8.25" customHeight="1">
      <c r="A112" s="71" t="s">
        <v>412</v>
      </c>
      <c r="B112" s="69"/>
      <c r="C112" s="72"/>
      <c r="D112" s="72"/>
      <c r="E112" s="72"/>
      <c r="F112" s="72"/>
      <c r="G112" s="72"/>
      <c r="H112" s="72"/>
      <c r="I112" s="72"/>
      <c r="J112" s="72"/>
      <c r="K112" s="72"/>
      <c r="L112" s="72"/>
      <c r="M112" s="72"/>
      <c r="N112" s="72"/>
      <c r="O112" s="72"/>
      <c r="P112" s="72"/>
      <c r="Q112" s="73"/>
      <c r="R112" s="487" t="s">
        <v>401</v>
      </c>
      <c r="S112" s="488"/>
      <c r="T112" s="489"/>
      <c r="U112" s="59"/>
      <c r="V112" s="51"/>
      <c r="W112" s="24"/>
      <c r="X112" s="24"/>
      <c r="Y112" s="24"/>
      <c r="Z112" s="24"/>
      <c r="AA112" s="24"/>
      <c r="AB112" s="24"/>
      <c r="AC112" s="24"/>
      <c r="AD112" s="24"/>
      <c r="AE112" s="24"/>
      <c r="AF112" s="24"/>
      <c r="AG112" s="24"/>
      <c r="AH112" s="24"/>
      <c r="AI112" s="24"/>
      <c r="AJ112" s="24"/>
      <c r="AK112" s="36"/>
      <c r="AL112" s="24"/>
      <c r="AM112" s="24"/>
      <c r="AN112" s="25"/>
    </row>
    <row r="113" spans="1:40" ht="8.25" customHeight="1" thickBot="1">
      <c r="A113" s="79" t="s">
        <v>404</v>
      </c>
      <c r="B113" s="80"/>
      <c r="C113" s="81"/>
      <c r="D113" s="81"/>
      <c r="E113" s="81"/>
      <c r="F113" s="81"/>
      <c r="G113" s="81"/>
      <c r="H113" s="81"/>
      <c r="I113" s="81"/>
      <c r="J113" s="81"/>
      <c r="K113" s="81"/>
      <c r="L113" s="81"/>
      <c r="M113" s="81"/>
      <c r="N113" s="81"/>
      <c r="O113" s="81"/>
      <c r="P113" s="81"/>
      <c r="Q113" s="82"/>
      <c r="R113" s="510" t="s">
        <v>405</v>
      </c>
      <c r="S113" s="510"/>
      <c r="T113" s="511"/>
      <c r="U113" s="95"/>
      <c r="V113" s="80"/>
      <c r="W113" s="15"/>
      <c r="X113" s="15"/>
      <c r="Y113" s="15"/>
      <c r="Z113" s="15"/>
      <c r="AA113" s="15"/>
      <c r="AB113" s="15"/>
      <c r="AC113" s="15"/>
      <c r="AD113" s="15"/>
      <c r="AE113" s="15"/>
      <c r="AF113" s="15"/>
      <c r="AG113" s="15"/>
      <c r="AH113" s="15"/>
      <c r="AI113" s="15"/>
      <c r="AJ113" s="15"/>
      <c r="AK113" s="16"/>
      <c r="AL113" s="15"/>
      <c r="AM113" s="15"/>
      <c r="AN113" s="30"/>
    </row>
    <row r="114" spans="1:40" ht="11.25" customHeight="1"/>
    <row r="115" spans="1:40" ht="11.25" customHeight="1"/>
    <row r="116" spans="1:40" ht="11.25" customHeight="1"/>
    <row r="117" spans="1:40" ht="11.25" customHeight="1"/>
    <row r="118" spans="1:40" ht="11.25" customHeight="1"/>
    <row r="119" spans="1:40" ht="11.25" customHeight="1"/>
    <row r="120" spans="1:40" ht="11.25" customHeight="1"/>
    <row r="121" spans="1:40" ht="11.25" customHeight="1"/>
    <row r="122" spans="1:40" ht="11.25" customHeight="1"/>
    <row r="123" spans="1:40" ht="11.25" customHeight="1"/>
    <row r="124" spans="1:40" ht="11.25" customHeight="1"/>
    <row r="125" spans="1:40" ht="11.25" customHeight="1"/>
    <row r="126" spans="1:40" ht="11.25" customHeight="1"/>
    <row r="127" spans="1:40" ht="11.25" customHeight="1"/>
    <row r="128" spans="1:40" ht="11.25" customHeight="1"/>
    <row r="129" ht="11.25" customHeight="1"/>
    <row r="130" ht="11.25" customHeight="1"/>
    <row r="131" ht="11.25" customHeight="1"/>
    <row r="132" ht="11.25" customHeight="1"/>
    <row r="133" ht="11.25" customHeight="1"/>
    <row r="134" ht="11.25" customHeight="1"/>
    <row r="135" ht="11.25" customHeight="1"/>
    <row r="136" ht="11.25" customHeight="1"/>
    <row r="137" ht="11.25" customHeight="1"/>
    <row r="138" ht="13.5" customHeight="1"/>
    <row r="139" ht="13.5" customHeight="1"/>
    <row r="140" ht="13.5" customHeight="1"/>
    <row r="141" ht="13.5" customHeight="1"/>
    <row r="142" ht="13.5" customHeight="1"/>
    <row r="143" ht="13.5" customHeight="1"/>
  </sheetData>
  <mergeCells count="163">
    <mergeCell ref="R111:T111"/>
    <mergeCell ref="AL111:AN111"/>
    <mergeCell ref="R112:T112"/>
    <mergeCell ref="R113:T113"/>
    <mergeCell ref="R107:T108"/>
    <mergeCell ref="AL107:AN107"/>
    <mergeCell ref="R109:T109"/>
    <mergeCell ref="AL109:AN109"/>
    <mergeCell ref="R110:T110"/>
    <mergeCell ref="AL110:AN110"/>
    <mergeCell ref="R102:T102"/>
    <mergeCell ref="AL102:AN103"/>
    <mergeCell ref="R103:T103"/>
    <mergeCell ref="R104:T104"/>
    <mergeCell ref="AL104:AN104"/>
    <mergeCell ref="R105:T106"/>
    <mergeCell ref="AL105:AN105"/>
    <mergeCell ref="AL106:AN106"/>
    <mergeCell ref="R97:T97"/>
    <mergeCell ref="R98:T98"/>
    <mergeCell ref="AL98:AN98"/>
    <mergeCell ref="AL99:AN99"/>
    <mergeCell ref="AL100:AN100"/>
    <mergeCell ref="AL101:AN101"/>
    <mergeCell ref="O91:Q91"/>
    <mergeCell ref="R91:T91"/>
    <mergeCell ref="A92:AN92"/>
    <mergeCell ref="R93:T93"/>
    <mergeCell ref="R94:T94"/>
    <mergeCell ref="R95:T96"/>
    <mergeCell ref="AI83:AN84"/>
    <mergeCell ref="O85:Q85"/>
    <mergeCell ref="AI85:AN86"/>
    <mergeCell ref="O86:Q86"/>
    <mergeCell ref="O90:Q90"/>
    <mergeCell ref="R90:T90"/>
    <mergeCell ref="U77:AN78"/>
    <mergeCell ref="AI79:AN80"/>
    <mergeCell ref="O80:Q80"/>
    <mergeCell ref="R80:T80"/>
    <mergeCell ref="O81:Q81"/>
    <mergeCell ref="R81:T81"/>
    <mergeCell ref="AI81:AN82"/>
    <mergeCell ref="O75:Q75"/>
    <mergeCell ref="AC75:AD75"/>
    <mergeCell ref="AI75:AK75"/>
    <mergeCell ref="AL75:AN75"/>
    <mergeCell ref="AC76:AD76"/>
    <mergeCell ref="AI76:AK76"/>
    <mergeCell ref="AL76:AN76"/>
    <mergeCell ref="AC73:AD73"/>
    <mergeCell ref="AI73:AK73"/>
    <mergeCell ref="AL73:AN73"/>
    <mergeCell ref="O74:Q74"/>
    <mergeCell ref="AC74:AD74"/>
    <mergeCell ref="AI74:AK74"/>
    <mergeCell ref="AL74:AN74"/>
    <mergeCell ref="O69:Q69"/>
    <mergeCell ref="AI69:AK69"/>
    <mergeCell ref="AL69:AN69"/>
    <mergeCell ref="AI70:AK71"/>
    <mergeCell ref="AL70:AN71"/>
    <mergeCell ref="AI72:AK72"/>
    <mergeCell ref="AL72:AN72"/>
    <mergeCell ref="AI64:AK68"/>
    <mergeCell ref="AL64:AN68"/>
    <mergeCell ref="O66:Q67"/>
    <mergeCell ref="R66:T67"/>
    <mergeCell ref="O68:Q68"/>
    <mergeCell ref="R68:T68"/>
    <mergeCell ref="AI56:AK59"/>
    <mergeCell ref="AL56:AN59"/>
    <mergeCell ref="R57:T57"/>
    <mergeCell ref="R58:T58"/>
    <mergeCell ref="O60:Q60"/>
    <mergeCell ref="AI60:AK63"/>
    <mergeCell ref="AL60:AN63"/>
    <mergeCell ref="O61:Q61"/>
    <mergeCell ref="O62:Q65"/>
    <mergeCell ref="R62:T65"/>
    <mergeCell ref="O48:Q48"/>
    <mergeCell ref="AI48:AK51"/>
    <mergeCell ref="AL48:AN51"/>
    <mergeCell ref="O49:Q49"/>
    <mergeCell ref="R51:T51"/>
    <mergeCell ref="R52:T52"/>
    <mergeCell ref="AI52:AK55"/>
    <mergeCell ref="AL52:AN55"/>
    <mergeCell ref="O54:Q54"/>
    <mergeCell ref="O55:Q55"/>
    <mergeCell ref="O42:Q42"/>
    <mergeCell ref="O43:Q43"/>
    <mergeCell ref="AI44:AK45"/>
    <mergeCell ref="AL44:AN45"/>
    <mergeCell ref="R45:T45"/>
    <mergeCell ref="R46:T46"/>
    <mergeCell ref="AI46:AK47"/>
    <mergeCell ref="AL46:AN47"/>
    <mergeCell ref="AI38:AK40"/>
    <mergeCell ref="AL38:AN40"/>
    <mergeCell ref="R39:T39"/>
    <mergeCell ref="R40:T40"/>
    <mergeCell ref="AI41:AK43"/>
    <mergeCell ref="AL41:AN43"/>
    <mergeCell ref="R34:T34"/>
    <mergeCell ref="AI34:AK34"/>
    <mergeCell ref="AL34:AN34"/>
    <mergeCell ref="AI35:AK35"/>
    <mergeCell ref="AL35:AN35"/>
    <mergeCell ref="O36:Q36"/>
    <mergeCell ref="AI36:AK37"/>
    <mergeCell ref="AL36:AN37"/>
    <mergeCell ref="O37:Q37"/>
    <mergeCell ref="AI31:AK31"/>
    <mergeCell ref="AL31:AN31"/>
    <mergeCell ref="AI32:AK32"/>
    <mergeCell ref="AL32:AN32"/>
    <mergeCell ref="R33:T33"/>
    <mergeCell ref="AI33:AK33"/>
    <mergeCell ref="O26:Q26"/>
    <mergeCell ref="R26:T26"/>
    <mergeCell ref="AI26:AK26"/>
    <mergeCell ref="AI27:AK27"/>
    <mergeCell ref="O29:Q29"/>
    <mergeCell ref="O30:Q30"/>
    <mergeCell ref="AI21:AK22"/>
    <mergeCell ref="AL21:AN22"/>
    <mergeCell ref="O22:Q22"/>
    <mergeCell ref="O23:Q23"/>
    <mergeCell ref="O25:Q25"/>
    <mergeCell ref="R25:T25"/>
    <mergeCell ref="O16:Q16"/>
    <mergeCell ref="AI16:AK18"/>
    <mergeCell ref="AL16:AN18"/>
    <mergeCell ref="O19:Q19"/>
    <mergeCell ref="R19:T19"/>
    <mergeCell ref="AI19:AK20"/>
    <mergeCell ref="AL19:AN20"/>
    <mergeCell ref="O20:Q20"/>
    <mergeCell ref="R20:T20"/>
    <mergeCell ref="O11:Q11"/>
    <mergeCell ref="AI11:AK12"/>
    <mergeCell ref="O12:Q12"/>
    <mergeCell ref="AI13:AK15"/>
    <mergeCell ref="AL13:AN15"/>
    <mergeCell ref="O15:Q15"/>
    <mergeCell ref="AL6:AN6"/>
    <mergeCell ref="O8:Q8"/>
    <mergeCell ref="AI8:AK8"/>
    <mergeCell ref="O9:Q9"/>
    <mergeCell ref="AI9:AK9"/>
    <mergeCell ref="AI10:AK10"/>
    <mergeCell ref="AL10:AN10"/>
    <mergeCell ref="A4:AN4"/>
    <mergeCell ref="A5:A6"/>
    <mergeCell ref="B5:N6"/>
    <mergeCell ref="O5:T5"/>
    <mergeCell ref="U5:U6"/>
    <mergeCell ref="V5:AH6"/>
    <mergeCell ref="AI5:AN5"/>
    <mergeCell ref="O6:Q6"/>
    <mergeCell ref="R6:T6"/>
    <mergeCell ref="AI6:AK6"/>
  </mergeCells>
  <pageMargins left="0.25" right="0" top="0.15" bottom="0" header="0.3" footer="0.3"/>
  <pageSetup paperSize="14" scale="94"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3755F-765F-449B-92AA-0A616BAAB048}">
  <sheetPr codeName="Sheet4">
    <tabColor rgb="FFFF66FF"/>
    <pageSetUpPr fitToPage="1"/>
  </sheetPr>
  <dimension ref="A1:AU111"/>
  <sheetViews>
    <sheetView view="pageBreakPreview" zoomScale="130" zoomScaleNormal="145" zoomScaleSheetLayoutView="130" workbookViewId="0">
      <selection activeCell="L38" sqref="L38:N38"/>
    </sheetView>
  </sheetViews>
  <sheetFormatPr defaultColWidth="9.109375" defaultRowHeight="12"/>
  <cols>
    <col min="1" max="19" width="2.6640625" style="108" customWidth="1"/>
    <col min="20" max="20" width="3.109375" style="108" customWidth="1"/>
    <col min="21" max="40" width="2.6640625" style="108" customWidth="1"/>
    <col min="41" max="41" width="0.88671875" style="108" customWidth="1"/>
    <col min="42" max="42" width="2.6640625" style="108" customWidth="1"/>
    <col min="43" max="43" width="13.6640625" style="109" customWidth="1"/>
    <col min="44" max="45" width="13.6640625" style="110" customWidth="1"/>
    <col min="46" max="46" width="13.6640625" style="108" customWidth="1"/>
    <col min="47" max="47" width="15.6640625" style="108" customWidth="1"/>
    <col min="48" max="16384" width="9.109375" style="108"/>
  </cols>
  <sheetData>
    <row r="1" spans="1:45" ht="6" customHeight="1"/>
    <row r="2" spans="1:45" ht="11.25" customHeight="1">
      <c r="A2" s="111"/>
      <c r="B2" s="111"/>
      <c r="C2" s="111"/>
      <c r="D2" s="111"/>
      <c r="E2" s="111"/>
      <c r="F2" s="111"/>
      <c r="G2" s="111"/>
      <c r="H2" s="186" t="s">
        <v>0</v>
      </c>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7"/>
      <c r="AI2" s="187"/>
      <c r="AJ2" s="187"/>
      <c r="AK2" s="187"/>
      <c r="AL2" s="187"/>
      <c r="AM2" s="187"/>
      <c r="AN2" s="187"/>
      <c r="AO2" s="187"/>
      <c r="AQ2" s="113"/>
    </row>
    <row r="3" spans="1:45" ht="11.25" customHeight="1">
      <c r="A3" s="111"/>
      <c r="B3" s="111"/>
      <c r="C3" s="111"/>
      <c r="D3" s="111"/>
      <c r="E3" s="111"/>
      <c r="F3" s="111"/>
      <c r="G3" s="111"/>
      <c r="H3" s="186" t="s">
        <v>1</v>
      </c>
      <c r="I3" s="186"/>
      <c r="J3" s="186"/>
      <c r="K3" s="186"/>
      <c r="L3" s="186"/>
      <c r="M3" s="186"/>
      <c r="N3" s="186"/>
      <c r="O3" s="186"/>
      <c r="P3" s="186"/>
      <c r="Q3" s="186"/>
      <c r="R3" s="186"/>
      <c r="S3" s="186"/>
      <c r="T3" s="186"/>
      <c r="U3" s="186"/>
      <c r="V3" s="186"/>
      <c r="W3" s="186"/>
      <c r="X3" s="186"/>
      <c r="Y3" s="186"/>
      <c r="Z3" s="186"/>
      <c r="AA3" s="186"/>
      <c r="AB3" s="186"/>
      <c r="AC3" s="186"/>
      <c r="AD3" s="186"/>
      <c r="AE3" s="186"/>
      <c r="AF3" s="186"/>
      <c r="AG3" s="186"/>
      <c r="AH3" s="188"/>
      <c r="AI3" s="188"/>
      <c r="AJ3" s="188"/>
      <c r="AK3" s="188"/>
      <c r="AL3" s="188"/>
      <c r="AM3" s="188"/>
      <c r="AN3" s="188"/>
      <c r="AO3" s="188"/>
      <c r="AQ3" s="114"/>
    </row>
    <row r="4" spans="1:45" ht="13.5" customHeight="1" thickBot="1">
      <c r="A4" s="115"/>
      <c r="B4" s="115"/>
      <c r="C4" s="115"/>
      <c r="D4" s="115"/>
      <c r="E4" s="115"/>
      <c r="F4" s="115"/>
      <c r="G4" s="115"/>
      <c r="H4" s="189" t="s">
        <v>2</v>
      </c>
      <c r="I4" s="189"/>
      <c r="J4" s="189"/>
      <c r="K4" s="189"/>
      <c r="L4" s="189"/>
      <c r="M4" s="189"/>
      <c r="N4" s="189"/>
      <c r="O4" s="189"/>
      <c r="P4" s="189"/>
      <c r="Q4" s="189"/>
      <c r="R4" s="189"/>
      <c r="S4" s="189"/>
      <c r="T4" s="189"/>
      <c r="U4" s="189"/>
      <c r="V4" s="189"/>
      <c r="W4" s="189"/>
      <c r="X4" s="189"/>
      <c r="Y4" s="189"/>
      <c r="Z4" s="189"/>
      <c r="AA4" s="189"/>
      <c r="AB4" s="189"/>
      <c r="AC4" s="189"/>
      <c r="AD4" s="189"/>
      <c r="AE4" s="189"/>
      <c r="AF4" s="189"/>
      <c r="AG4" s="189"/>
      <c r="AH4" s="115"/>
      <c r="AI4" s="115"/>
      <c r="AJ4" s="115"/>
      <c r="AK4" s="115"/>
      <c r="AL4" s="115"/>
      <c r="AM4" s="115"/>
      <c r="AN4" s="115"/>
      <c r="AO4" s="115"/>
    </row>
    <row r="5" spans="1:45" ht="9.75" customHeight="1">
      <c r="A5" s="116"/>
      <c r="B5" s="117"/>
      <c r="C5" s="117"/>
      <c r="D5" s="117"/>
      <c r="E5" s="117"/>
      <c r="F5" s="117"/>
      <c r="G5" s="118"/>
      <c r="H5" s="117"/>
      <c r="I5" s="117"/>
      <c r="J5" s="117"/>
      <c r="K5" s="117"/>
      <c r="L5" s="190" t="s">
        <v>3</v>
      </c>
      <c r="M5" s="190"/>
      <c r="N5" s="190"/>
      <c r="O5" s="190"/>
      <c r="P5" s="190"/>
      <c r="Q5" s="190"/>
      <c r="R5" s="190"/>
      <c r="S5" s="190"/>
      <c r="T5" s="190"/>
      <c r="U5" s="190"/>
      <c r="V5" s="190"/>
      <c r="W5" s="190"/>
      <c r="X5" s="190"/>
      <c r="Y5" s="190"/>
      <c r="Z5" s="190"/>
      <c r="AA5" s="190"/>
      <c r="AB5" s="190"/>
      <c r="AC5" s="117"/>
      <c r="AD5" s="119"/>
      <c r="AE5" s="117"/>
      <c r="AF5" s="117"/>
      <c r="AG5" s="117"/>
      <c r="AH5" s="117"/>
      <c r="AI5" s="117"/>
      <c r="AJ5" s="117"/>
      <c r="AK5" s="117"/>
      <c r="AL5" s="117"/>
      <c r="AM5" s="117"/>
      <c r="AN5" s="117"/>
      <c r="AO5" s="120"/>
    </row>
    <row r="6" spans="1:45" ht="9.75" customHeight="1">
      <c r="A6" s="121"/>
      <c r="B6" s="122"/>
      <c r="C6" s="122"/>
      <c r="D6" s="122"/>
      <c r="E6" s="122"/>
      <c r="F6" s="122"/>
      <c r="G6" s="123"/>
      <c r="H6" s="122"/>
      <c r="I6" s="122"/>
      <c r="J6" s="122"/>
      <c r="K6" s="122"/>
      <c r="L6" s="191"/>
      <c r="M6" s="191"/>
      <c r="N6" s="191"/>
      <c r="O6" s="191"/>
      <c r="P6" s="191"/>
      <c r="Q6" s="191"/>
      <c r="R6" s="191"/>
      <c r="S6" s="191"/>
      <c r="T6" s="191"/>
      <c r="U6" s="191"/>
      <c r="V6" s="191"/>
      <c r="W6" s="191"/>
      <c r="X6" s="191"/>
      <c r="Y6" s="191"/>
      <c r="Z6" s="191"/>
      <c r="AA6" s="191"/>
      <c r="AB6" s="191"/>
      <c r="AC6" s="122"/>
      <c r="AD6" s="124"/>
      <c r="AE6" s="122"/>
      <c r="AF6" s="122"/>
      <c r="AG6" s="122"/>
      <c r="AH6" s="122"/>
      <c r="AI6" s="122"/>
      <c r="AJ6" s="122"/>
      <c r="AK6" s="122"/>
      <c r="AL6" s="122"/>
      <c r="AM6" s="122"/>
      <c r="AN6" s="122"/>
      <c r="AO6" s="125"/>
    </row>
    <row r="7" spans="1:45" ht="9.75" customHeight="1">
      <c r="A7" s="121"/>
      <c r="B7" s="122"/>
      <c r="C7" s="122"/>
      <c r="D7" s="122"/>
      <c r="E7" s="122"/>
      <c r="F7" s="122"/>
      <c r="G7" s="123"/>
      <c r="H7" s="122"/>
      <c r="I7" s="122"/>
      <c r="J7" s="122"/>
      <c r="K7" s="122"/>
      <c r="L7" s="191"/>
      <c r="M7" s="191"/>
      <c r="N7" s="191"/>
      <c r="O7" s="191"/>
      <c r="P7" s="191"/>
      <c r="Q7" s="191"/>
      <c r="R7" s="191"/>
      <c r="S7" s="191"/>
      <c r="T7" s="191"/>
      <c r="U7" s="191"/>
      <c r="V7" s="191"/>
      <c r="W7" s="191"/>
      <c r="X7" s="191"/>
      <c r="Y7" s="191"/>
      <c r="Z7" s="191"/>
      <c r="AA7" s="191"/>
      <c r="AB7" s="191"/>
      <c r="AC7" s="122"/>
      <c r="AD7" s="124"/>
      <c r="AE7" s="122"/>
      <c r="AF7" s="122"/>
      <c r="AG7" s="122"/>
      <c r="AH7" s="122"/>
      <c r="AI7" s="122"/>
      <c r="AJ7" s="122"/>
      <c r="AK7" s="122"/>
      <c r="AL7" s="122"/>
      <c r="AM7" s="122"/>
      <c r="AN7" s="122"/>
      <c r="AO7" s="125"/>
    </row>
    <row r="8" spans="1:45" ht="9.75" customHeight="1">
      <c r="A8" s="121"/>
      <c r="B8" s="122"/>
      <c r="C8" s="122"/>
      <c r="D8" s="122"/>
      <c r="E8" s="122"/>
      <c r="F8" s="122"/>
      <c r="G8" s="123"/>
      <c r="H8" s="122"/>
      <c r="I8" s="122"/>
      <c r="J8" s="122"/>
      <c r="K8" s="122"/>
      <c r="L8" s="191"/>
      <c r="M8" s="191"/>
      <c r="N8" s="191"/>
      <c r="O8" s="191"/>
      <c r="P8" s="191"/>
      <c r="Q8" s="191"/>
      <c r="R8" s="191"/>
      <c r="S8" s="191"/>
      <c r="T8" s="191"/>
      <c r="U8" s="191"/>
      <c r="V8" s="191"/>
      <c r="W8" s="191"/>
      <c r="X8" s="191"/>
      <c r="Y8" s="191"/>
      <c r="Z8" s="191"/>
      <c r="AA8" s="191"/>
      <c r="AB8" s="191"/>
      <c r="AC8" s="122"/>
      <c r="AD8" s="124"/>
      <c r="AE8" s="122"/>
      <c r="AF8" s="122"/>
      <c r="AG8" s="122"/>
      <c r="AH8" s="122"/>
      <c r="AI8" s="122"/>
      <c r="AJ8" s="122"/>
      <c r="AK8" s="122"/>
      <c r="AL8" s="122"/>
      <c r="AM8" s="122"/>
      <c r="AN8" s="122"/>
      <c r="AO8" s="125"/>
    </row>
    <row r="9" spans="1:45" ht="9.75" customHeight="1" thickBot="1">
      <c r="A9" s="126"/>
      <c r="G9" s="127"/>
      <c r="H9" s="128"/>
      <c r="I9" s="129"/>
      <c r="J9" s="129"/>
      <c r="K9" s="129"/>
      <c r="L9" s="192"/>
      <c r="M9" s="192"/>
      <c r="N9" s="192"/>
      <c r="O9" s="192"/>
      <c r="P9" s="192"/>
      <c r="Q9" s="192"/>
      <c r="R9" s="192"/>
      <c r="S9" s="192"/>
      <c r="T9" s="192"/>
      <c r="U9" s="192"/>
      <c r="V9" s="192"/>
      <c r="W9" s="192"/>
      <c r="X9" s="192"/>
      <c r="Y9" s="192"/>
      <c r="Z9" s="192"/>
      <c r="AA9" s="192"/>
      <c r="AB9" s="192"/>
      <c r="AC9" s="130"/>
      <c r="AD9" s="131"/>
      <c r="AO9" s="132"/>
    </row>
    <row r="10" spans="1:45" ht="10.5" customHeight="1" thickBot="1">
      <c r="A10" s="133" t="s">
        <v>4</v>
      </c>
      <c r="B10" s="134"/>
      <c r="C10" s="134"/>
      <c r="D10" s="134"/>
      <c r="E10" s="134"/>
      <c r="F10" s="134"/>
      <c r="G10" s="134"/>
      <c r="H10" s="134"/>
      <c r="I10" s="134"/>
      <c r="J10" s="134"/>
      <c r="K10" s="134"/>
      <c r="L10" s="134"/>
      <c r="M10" s="134"/>
      <c r="N10" s="134"/>
      <c r="O10" s="134"/>
      <c r="P10" s="134"/>
      <c r="Q10" s="134"/>
      <c r="R10" s="134"/>
      <c r="S10" s="134"/>
      <c r="T10" s="134"/>
      <c r="U10" s="134"/>
      <c r="V10" s="134"/>
      <c r="W10" s="134"/>
      <c r="X10" s="134"/>
      <c r="Y10" s="134"/>
      <c r="Z10" s="134"/>
      <c r="AA10" s="134"/>
      <c r="AB10" s="134"/>
      <c r="AC10" s="134"/>
      <c r="AD10" s="134"/>
      <c r="AE10" s="134"/>
      <c r="AF10" s="134"/>
      <c r="AG10" s="134"/>
      <c r="AH10" s="134"/>
      <c r="AI10" s="134"/>
      <c r="AJ10" s="134"/>
      <c r="AK10" s="134"/>
      <c r="AL10" s="134"/>
      <c r="AM10" s="134"/>
      <c r="AN10" s="134"/>
      <c r="AO10" s="135"/>
    </row>
    <row r="11" spans="1:45" s="110" customFormat="1" ht="3" customHeight="1">
      <c r="A11" s="168">
        <v>1</v>
      </c>
      <c r="B11" s="171" t="s">
        <v>5</v>
      </c>
      <c r="C11" s="171"/>
      <c r="D11" s="171"/>
      <c r="E11" s="171"/>
      <c r="F11" s="136"/>
      <c r="G11" s="136"/>
      <c r="H11" s="174" t="s">
        <v>6</v>
      </c>
      <c r="I11" s="174"/>
      <c r="J11" s="136"/>
      <c r="K11" s="136"/>
      <c r="L11" s="136"/>
      <c r="M11" s="136"/>
      <c r="N11" s="136"/>
      <c r="O11" s="136"/>
      <c r="P11" s="136"/>
      <c r="Q11" s="136"/>
      <c r="R11" s="177" t="s">
        <v>7</v>
      </c>
      <c r="S11" s="177"/>
      <c r="T11" s="177"/>
      <c r="U11" s="177"/>
      <c r="V11" s="136"/>
      <c r="W11" s="136"/>
      <c r="X11" s="136"/>
      <c r="Y11" s="171" t="s">
        <v>8</v>
      </c>
      <c r="Z11" s="171"/>
      <c r="AA11" s="136"/>
      <c r="AB11" s="136"/>
      <c r="AC11" s="136"/>
      <c r="AD11" s="136"/>
      <c r="AE11" s="136"/>
      <c r="AF11" s="136"/>
      <c r="AG11" s="136"/>
      <c r="AH11" s="136"/>
      <c r="AI11" s="180" t="s">
        <v>7</v>
      </c>
      <c r="AJ11" s="180"/>
      <c r="AK11" s="180"/>
      <c r="AL11" s="180"/>
      <c r="AM11" s="180"/>
      <c r="AN11" s="180"/>
      <c r="AO11" s="181"/>
      <c r="AP11" s="108"/>
      <c r="AQ11" s="109"/>
    </row>
    <row r="12" spans="1:45" s="110" customFormat="1" ht="5.25" customHeight="1">
      <c r="A12" s="169"/>
      <c r="B12" s="172"/>
      <c r="C12" s="172"/>
      <c r="D12" s="172"/>
      <c r="E12" s="172"/>
      <c r="F12" s="108"/>
      <c r="G12" s="108"/>
      <c r="H12" s="175"/>
      <c r="I12" s="175"/>
      <c r="J12" s="137"/>
      <c r="K12" s="138"/>
      <c r="L12" s="137"/>
      <c r="M12" s="138"/>
      <c r="N12" s="137"/>
      <c r="O12" s="138"/>
      <c r="P12" s="138"/>
      <c r="Q12" s="139"/>
      <c r="R12" s="178"/>
      <c r="S12" s="178"/>
      <c r="T12" s="178"/>
      <c r="U12" s="178"/>
      <c r="V12" s="108"/>
      <c r="W12" s="108"/>
      <c r="X12" s="108"/>
      <c r="Y12" s="172"/>
      <c r="Z12" s="172"/>
      <c r="AA12" s="137"/>
      <c r="AB12" s="138"/>
      <c r="AC12" s="137"/>
      <c r="AD12" s="138"/>
      <c r="AE12" s="137"/>
      <c r="AF12" s="138"/>
      <c r="AG12" s="138"/>
      <c r="AH12" s="139"/>
      <c r="AI12" s="182"/>
      <c r="AJ12" s="182"/>
      <c r="AK12" s="182"/>
      <c r="AL12" s="182"/>
      <c r="AM12" s="182"/>
      <c r="AN12" s="182"/>
      <c r="AO12" s="183"/>
      <c r="AP12" s="108"/>
      <c r="AQ12" s="109"/>
    </row>
    <row r="13" spans="1:45" s="110" customFormat="1" ht="16.350000000000001" customHeight="1" thickBot="1">
      <c r="A13" s="170"/>
      <c r="B13" s="173"/>
      <c r="C13" s="173"/>
      <c r="D13" s="173"/>
      <c r="E13" s="173"/>
      <c r="F13" s="129"/>
      <c r="G13" s="129"/>
      <c r="H13" s="176"/>
      <c r="I13" s="176"/>
      <c r="J13" s="140">
        <v>0</v>
      </c>
      <c r="K13" s="140">
        <v>1</v>
      </c>
      <c r="L13" s="141">
        <v>0</v>
      </c>
      <c r="M13" s="142" t="str">
        <f>MID(AQ13,8,1)</f>
        <v>1</v>
      </c>
      <c r="N13" s="141" t="str">
        <f>MID(AQ13,1,1)</f>
        <v>2</v>
      </c>
      <c r="O13" s="142" t="str">
        <f>MID(AQ13,2,1)</f>
        <v>0</v>
      </c>
      <c r="P13" s="141" t="str">
        <f>MID(AQ13,3,1)</f>
        <v>2</v>
      </c>
      <c r="Q13" s="143">
        <v>6</v>
      </c>
      <c r="R13" s="179"/>
      <c r="S13" s="179"/>
      <c r="T13" s="179"/>
      <c r="U13" s="179"/>
      <c r="V13" s="129"/>
      <c r="W13" s="129"/>
      <c r="X13" s="129"/>
      <c r="Y13" s="173"/>
      <c r="Z13" s="173"/>
      <c r="AA13" s="140">
        <v>0</v>
      </c>
      <c r="AB13" s="140">
        <v>3</v>
      </c>
      <c r="AC13" s="141" t="str">
        <f>MID(AR13,7,1)</f>
        <v>3</v>
      </c>
      <c r="AD13" s="142">
        <v>1</v>
      </c>
      <c r="AE13" s="141" t="str">
        <f>MID(AR13,1,1)</f>
        <v>2</v>
      </c>
      <c r="AF13" s="142" t="str">
        <f>MID(AR13,2,1)</f>
        <v>0</v>
      </c>
      <c r="AG13" s="141" t="str">
        <f>MID(AR13,3,1)</f>
        <v>2</v>
      </c>
      <c r="AH13" s="143">
        <v>6</v>
      </c>
      <c r="AI13" s="184"/>
      <c r="AJ13" s="184"/>
      <c r="AK13" s="184"/>
      <c r="AL13" s="184"/>
      <c r="AM13" s="184"/>
      <c r="AN13" s="184"/>
      <c r="AO13" s="185"/>
      <c r="AP13" s="108"/>
      <c r="AQ13" s="144" t="s">
        <v>9</v>
      </c>
      <c r="AR13" s="144" t="str">
        <f>VLOOKUP(AQ13,[3]Page2!AS1:AT16,2)</f>
        <v>20250930</v>
      </c>
      <c r="AS13" s="145"/>
    </row>
    <row r="14" spans="1:45" s="110" customFormat="1" ht="10.5" customHeight="1" thickBot="1">
      <c r="A14" s="209" t="s">
        <v>10</v>
      </c>
      <c r="B14" s="210"/>
      <c r="C14" s="210"/>
      <c r="D14" s="210"/>
      <c r="E14" s="210"/>
      <c r="F14" s="210"/>
      <c r="G14" s="210"/>
      <c r="H14" s="210"/>
      <c r="I14" s="210"/>
      <c r="J14" s="210"/>
      <c r="K14" s="210"/>
      <c r="L14" s="210"/>
      <c r="M14" s="210"/>
      <c r="N14" s="210"/>
      <c r="O14" s="210"/>
      <c r="P14" s="210"/>
      <c r="Q14" s="210"/>
      <c r="R14" s="210"/>
      <c r="S14" s="210"/>
      <c r="T14" s="210"/>
      <c r="U14" s="210"/>
      <c r="V14" s="210"/>
      <c r="W14" s="210"/>
      <c r="X14" s="210"/>
      <c r="Y14" s="210"/>
      <c r="Z14" s="210"/>
      <c r="AA14" s="210"/>
      <c r="AB14" s="210"/>
      <c r="AC14" s="210"/>
      <c r="AD14" s="210"/>
      <c r="AE14" s="210"/>
      <c r="AF14" s="210"/>
      <c r="AG14" s="210"/>
      <c r="AH14" s="210"/>
      <c r="AI14" s="210"/>
      <c r="AJ14" s="210"/>
      <c r="AK14" s="210"/>
      <c r="AL14" s="210"/>
      <c r="AM14" s="210"/>
      <c r="AN14" s="210"/>
      <c r="AO14" s="211"/>
      <c r="AP14" s="108"/>
      <c r="AQ14" s="109"/>
    </row>
    <row r="15" spans="1:45" s="110" customFormat="1" ht="3" customHeight="1">
      <c r="A15" s="168">
        <v>2</v>
      </c>
      <c r="B15" s="213" t="s">
        <v>11</v>
      </c>
      <c r="C15" s="213"/>
      <c r="D15" s="213"/>
      <c r="E15" s="213"/>
      <c r="F15" s="213"/>
      <c r="G15" s="213"/>
      <c r="H15" s="213"/>
      <c r="I15" s="213"/>
      <c r="J15" s="213"/>
      <c r="K15" s="213"/>
      <c r="L15" s="213"/>
      <c r="M15" s="213"/>
      <c r="N15" s="136"/>
      <c r="O15" s="136"/>
      <c r="P15" s="136"/>
      <c r="Q15" s="136"/>
      <c r="R15" s="136"/>
      <c r="S15" s="136"/>
      <c r="T15" s="136"/>
      <c r="U15" s="136"/>
      <c r="V15" s="136"/>
      <c r="W15" s="136"/>
      <c r="X15" s="136"/>
      <c r="Y15" s="136"/>
      <c r="Z15" s="136"/>
      <c r="AA15" s="136"/>
      <c r="AB15" s="136"/>
      <c r="AC15" s="136"/>
      <c r="AD15" s="136"/>
      <c r="AE15" s="136"/>
      <c r="AF15" s="136"/>
      <c r="AG15" s="136"/>
      <c r="AH15" s="136"/>
      <c r="AI15" s="136"/>
      <c r="AJ15" s="136"/>
      <c r="AK15" s="136"/>
      <c r="AL15" s="136"/>
      <c r="AM15" s="136"/>
      <c r="AN15" s="136"/>
      <c r="AO15" s="146"/>
      <c r="AP15" s="108"/>
      <c r="AQ15" s="216"/>
    </row>
    <row r="16" spans="1:45" s="110" customFormat="1" ht="5.25" customHeight="1">
      <c r="A16" s="169"/>
      <c r="B16" s="214"/>
      <c r="C16" s="214"/>
      <c r="D16" s="214"/>
      <c r="E16" s="214"/>
      <c r="F16" s="214"/>
      <c r="G16" s="214"/>
      <c r="H16" s="214"/>
      <c r="I16" s="214"/>
      <c r="J16" s="214"/>
      <c r="K16" s="214"/>
      <c r="L16" s="214"/>
      <c r="M16" s="214"/>
      <c r="N16" s="137"/>
      <c r="O16" s="138"/>
      <c r="P16" s="138"/>
      <c r="Q16" s="147"/>
      <c r="R16" s="137"/>
      <c r="S16" s="138"/>
      <c r="T16" s="138"/>
      <c r="U16" s="147"/>
      <c r="V16" s="137"/>
      <c r="W16" s="138"/>
      <c r="X16" s="138"/>
      <c r="Y16" s="147"/>
      <c r="Z16" s="137"/>
      <c r="AA16" s="138"/>
      <c r="AB16" s="138"/>
      <c r="AC16" s="138"/>
      <c r="AD16" s="139"/>
      <c r="AE16" s="108"/>
      <c r="AF16" s="108"/>
      <c r="AG16" s="108"/>
      <c r="AH16" s="108"/>
      <c r="AI16" s="108"/>
      <c r="AJ16" s="108"/>
      <c r="AK16" s="108"/>
      <c r="AL16" s="108"/>
      <c r="AM16" s="108"/>
      <c r="AN16" s="108"/>
      <c r="AO16" s="132"/>
      <c r="AP16" s="108"/>
      <c r="AQ16" s="216"/>
      <c r="AR16" s="217"/>
    </row>
    <row r="17" spans="1:47" s="110" customFormat="1" ht="16.350000000000001" customHeight="1">
      <c r="A17" s="212"/>
      <c r="B17" s="215"/>
      <c r="C17" s="215"/>
      <c r="D17" s="215"/>
      <c r="E17" s="215"/>
      <c r="F17" s="215"/>
      <c r="G17" s="215"/>
      <c r="H17" s="215"/>
      <c r="I17" s="215"/>
      <c r="J17" s="215"/>
      <c r="K17" s="215"/>
      <c r="L17" s="215"/>
      <c r="M17" s="215"/>
      <c r="N17" s="148">
        <v>0</v>
      </c>
      <c r="O17" s="149">
        <v>0</v>
      </c>
      <c r="P17" s="148">
        <v>9</v>
      </c>
      <c r="Q17" s="150" t="s">
        <v>12</v>
      </c>
      <c r="R17" s="148">
        <v>3</v>
      </c>
      <c r="S17" s="149">
        <v>9</v>
      </c>
      <c r="T17" s="148">
        <v>8</v>
      </c>
      <c r="U17" s="150" t="s">
        <v>12</v>
      </c>
      <c r="V17" s="148">
        <v>8</v>
      </c>
      <c r="W17" s="149">
        <v>1</v>
      </c>
      <c r="X17" s="148">
        <v>6</v>
      </c>
      <c r="Y17" s="150" t="s">
        <v>12</v>
      </c>
      <c r="Z17" s="148">
        <v>0</v>
      </c>
      <c r="AA17" s="149">
        <v>0</v>
      </c>
      <c r="AB17" s="148">
        <v>0</v>
      </c>
      <c r="AC17" s="148">
        <v>0</v>
      </c>
      <c r="AD17" s="148">
        <v>0</v>
      </c>
      <c r="AE17" s="151"/>
      <c r="AF17" s="151"/>
      <c r="AG17" s="151"/>
      <c r="AH17" s="151"/>
      <c r="AI17" s="151"/>
      <c r="AJ17" s="151"/>
      <c r="AK17" s="151"/>
      <c r="AL17" s="151"/>
      <c r="AM17" s="151"/>
      <c r="AN17" s="151"/>
      <c r="AO17" s="152"/>
      <c r="AP17" s="108"/>
      <c r="AQ17" s="216"/>
      <c r="AR17" s="218"/>
    </row>
    <row r="18" spans="1:47" s="110" customFormat="1" ht="10.5" customHeight="1">
      <c r="A18" s="153">
        <v>3</v>
      </c>
      <c r="B18" s="108" t="s">
        <v>13</v>
      </c>
      <c r="C18" s="108"/>
      <c r="D18" s="108"/>
      <c r="E18" s="108"/>
      <c r="F18" s="108"/>
      <c r="G18" s="108"/>
      <c r="H18" s="108"/>
      <c r="I18" s="108"/>
      <c r="J18" s="108"/>
      <c r="K18" s="108"/>
      <c r="L18" s="108"/>
      <c r="M18" s="108"/>
      <c r="N18" s="108"/>
      <c r="O18" s="108"/>
      <c r="P18" s="108"/>
      <c r="Q18" s="108"/>
      <c r="R18" s="108"/>
      <c r="S18" s="108"/>
      <c r="T18" s="108"/>
      <c r="U18" s="108"/>
      <c r="V18" s="108"/>
      <c r="W18" s="108"/>
      <c r="X18" s="108"/>
      <c r="Y18" s="108"/>
      <c r="Z18" s="108"/>
      <c r="AA18" s="108"/>
      <c r="AB18" s="108"/>
      <c r="AC18" s="108"/>
      <c r="AD18" s="108"/>
      <c r="AE18" s="108"/>
      <c r="AF18" s="108"/>
      <c r="AG18" s="108"/>
      <c r="AH18" s="108"/>
      <c r="AI18" s="108"/>
      <c r="AJ18" s="108"/>
      <c r="AK18" s="108"/>
      <c r="AL18" s="108"/>
      <c r="AM18" s="108"/>
      <c r="AN18" s="108"/>
      <c r="AO18" s="132"/>
      <c r="AP18" s="108"/>
      <c r="AQ18" s="109"/>
    </row>
    <row r="19" spans="1:47" s="110" customFormat="1" ht="9.6" customHeight="1">
      <c r="A19" s="154"/>
      <c r="B19" s="219" t="s">
        <v>14</v>
      </c>
      <c r="C19" s="220"/>
      <c r="D19" s="220"/>
      <c r="E19" s="220"/>
      <c r="F19" s="220"/>
      <c r="G19" s="220"/>
      <c r="H19" s="220"/>
      <c r="I19" s="220"/>
      <c r="J19" s="220"/>
      <c r="K19" s="220"/>
      <c r="L19" s="220"/>
      <c r="M19" s="220"/>
      <c r="N19" s="220"/>
      <c r="O19" s="220"/>
      <c r="P19" s="220"/>
      <c r="Q19" s="220"/>
      <c r="R19" s="220"/>
      <c r="S19" s="220"/>
      <c r="T19" s="220"/>
      <c r="U19" s="220"/>
      <c r="V19" s="220"/>
      <c r="W19" s="220"/>
      <c r="X19" s="220"/>
      <c r="Y19" s="220"/>
      <c r="Z19" s="220"/>
      <c r="AA19" s="220"/>
      <c r="AB19" s="220"/>
      <c r="AC19" s="220"/>
      <c r="AD19" s="220"/>
      <c r="AE19" s="220"/>
      <c r="AF19" s="220"/>
      <c r="AG19" s="220"/>
      <c r="AH19" s="220"/>
      <c r="AI19" s="220"/>
      <c r="AJ19" s="220"/>
      <c r="AK19" s="220"/>
      <c r="AL19" s="220"/>
      <c r="AM19" s="220"/>
      <c r="AN19" s="221"/>
      <c r="AO19" s="132"/>
      <c r="AP19" s="108"/>
      <c r="AQ19" s="202"/>
      <c r="AR19" s="202"/>
      <c r="AS19" s="202"/>
      <c r="AT19" s="202"/>
    </row>
    <row r="20" spans="1:47" s="110" customFormat="1" ht="9.6" customHeight="1">
      <c r="A20" s="154"/>
      <c r="B20" s="222"/>
      <c r="C20" s="223"/>
      <c r="D20" s="223"/>
      <c r="E20" s="223"/>
      <c r="F20" s="223"/>
      <c r="G20" s="223"/>
      <c r="H20" s="223"/>
      <c r="I20" s="223"/>
      <c r="J20" s="223"/>
      <c r="K20" s="223"/>
      <c r="L20" s="223"/>
      <c r="M20" s="223"/>
      <c r="N20" s="223"/>
      <c r="O20" s="223"/>
      <c r="P20" s="223"/>
      <c r="Q20" s="223"/>
      <c r="R20" s="223"/>
      <c r="S20" s="223"/>
      <c r="T20" s="223"/>
      <c r="U20" s="223"/>
      <c r="V20" s="223"/>
      <c r="W20" s="223"/>
      <c r="X20" s="223"/>
      <c r="Y20" s="223"/>
      <c r="Z20" s="223"/>
      <c r="AA20" s="223"/>
      <c r="AB20" s="223"/>
      <c r="AC20" s="223"/>
      <c r="AD20" s="223"/>
      <c r="AE20" s="223"/>
      <c r="AF20" s="223"/>
      <c r="AG20" s="223"/>
      <c r="AH20" s="223"/>
      <c r="AI20" s="223"/>
      <c r="AJ20" s="223"/>
      <c r="AK20" s="223"/>
      <c r="AL20" s="223"/>
      <c r="AM20" s="223"/>
      <c r="AN20" s="224"/>
      <c r="AO20" s="132"/>
      <c r="AP20" s="108"/>
      <c r="AQ20" s="202"/>
      <c r="AR20" s="202"/>
      <c r="AS20" s="202"/>
      <c r="AT20" s="202"/>
    </row>
    <row r="21" spans="1:47" s="110" customFormat="1" ht="3" customHeight="1">
      <c r="A21" s="154"/>
      <c r="B21" s="108"/>
      <c r="C21" s="108"/>
      <c r="D21" s="108"/>
      <c r="E21" s="108"/>
      <c r="F21" s="108"/>
      <c r="G21" s="108"/>
      <c r="H21" s="108"/>
      <c r="I21" s="108"/>
      <c r="J21" s="108"/>
      <c r="K21" s="108"/>
      <c r="L21" s="108"/>
      <c r="M21" s="108"/>
      <c r="N21" s="108"/>
      <c r="O21" s="108"/>
      <c r="P21" s="108"/>
      <c r="Q21" s="108"/>
      <c r="R21" s="108"/>
      <c r="S21" s="108"/>
      <c r="T21" s="108"/>
      <c r="U21" s="108"/>
      <c r="V21" s="108"/>
      <c r="W21" s="108"/>
      <c r="X21" s="108"/>
      <c r="Y21" s="108"/>
      <c r="Z21" s="108"/>
      <c r="AA21" s="108"/>
      <c r="AB21" s="108"/>
      <c r="AC21" s="108"/>
      <c r="AD21" s="108"/>
      <c r="AE21" s="108"/>
      <c r="AF21" s="108"/>
      <c r="AG21" s="108"/>
      <c r="AH21" s="108"/>
      <c r="AI21" s="108"/>
      <c r="AJ21" s="108"/>
      <c r="AK21" s="108"/>
      <c r="AL21" s="108"/>
      <c r="AM21" s="108"/>
      <c r="AN21" s="108"/>
      <c r="AO21" s="132"/>
      <c r="AP21" s="108"/>
      <c r="AQ21" s="109"/>
    </row>
    <row r="22" spans="1:47" s="110" customFormat="1" ht="10.5" customHeight="1">
      <c r="A22" s="153">
        <v>4</v>
      </c>
      <c r="B22" s="108" t="s">
        <v>15</v>
      </c>
      <c r="C22" s="108"/>
      <c r="D22" s="108"/>
      <c r="E22" s="108"/>
      <c r="F22" s="108"/>
      <c r="G22" s="108"/>
      <c r="H22" s="108"/>
      <c r="I22" s="108"/>
      <c r="J22" s="108"/>
      <c r="K22" s="108"/>
      <c r="L22" s="108"/>
      <c r="M22" s="108"/>
      <c r="N22" s="108"/>
      <c r="O22" s="108"/>
      <c r="P22" s="108"/>
      <c r="Q22" s="108"/>
      <c r="R22" s="108"/>
      <c r="S22" s="108"/>
      <c r="T22" s="108"/>
      <c r="U22" s="108"/>
      <c r="V22" s="108"/>
      <c r="W22" s="108"/>
      <c r="X22" s="108"/>
      <c r="Y22" s="108"/>
      <c r="Z22" s="108"/>
      <c r="AA22" s="108"/>
      <c r="AB22" s="108"/>
      <c r="AC22" s="108"/>
      <c r="AD22" s="108"/>
      <c r="AE22" s="108"/>
      <c r="AF22" s="108"/>
      <c r="AG22" s="108"/>
      <c r="AH22" s="108"/>
      <c r="AI22" s="108"/>
      <c r="AJ22" s="108"/>
      <c r="AK22" s="112" t="s">
        <v>16</v>
      </c>
      <c r="AL22" s="108" t="s">
        <v>17</v>
      </c>
      <c r="AM22" s="108"/>
      <c r="AN22" s="108"/>
      <c r="AO22" s="132"/>
      <c r="AP22" s="108"/>
      <c r="AQ22" s="109"/>
    </row>
    <row r="23" spans="1:47" s="110" customFormat="1" ht="3.6" customHeight="1">
      <c r="A23" s="154"/>
      <c r="B23" s="193" t="s">
        <v>18</v>
      </c>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c r="AA23" s="194"/>
      <c r="AB23" s="194"/>
      <c r="AC23" s="194"/>
      <c r="AD23" s="194"/>
      <c r="AE23" s="194"/>
      <c r="AF23" s="194"/>
      <c r="AG23" s="194"/>
      <c r="AH23" s="194"/>
      <c r="AI23" s="195"/>
      <c r="AJ23" s="108"/>
      <c r="AK23" s="137"/>
      <c r="AL23" s="138"/>
      <c r="AM23" s="138"/>
      <c r="AN23" s="139"/>
      <c r="AO23" s="132"/>
      <c r="AP23" s="108"/>
      <c r="AQ23" s="202" t="str">
        <f>IFERROR(VLOOKUP($AQ$15,#REF!,3,0),"")</f>
        <v/>
      </c>
      <c r="AR23" s="202"/>
      <c r="AS23" s="202"/>
      <c r="AT23" s="202"/>
      <c r="AU23" s="202"/>
    </row>
    <row r="24" spans="1:47" s="110" customFormat="1" ht="7.5" customHeight="1">
      <c r="A24" s="154"/>
      <c r="B24" s="196"/>
      <c r="C24" s="197"/>
      <c r="D24" s="197"/>
      <c r="E24" s="197"/>
      <c r="F24" s="197"/>
      <c r="G24" s="197"/>
      <c r="H24" s="197"/>
      <c r="I24" s="197"/>
      <c r="J24" s="197"/>
      <c r="K24" s="197"/>
      <c r="L24" s="197"/>
      <c r="M24" s="197"/>
      <c r="N24" s="197"/>
      <c r="O24" s="197"/>
      <c r="P24" s="197"/>
      <c r="Q24" s="197"/>
      <c r="R24" s="197"/>
      <c r="S24" s="197"/>
      <c r="T24" s="197"/>
      <c r="U24" s="197"/>
      <c r="V24" s="197"/>
      <c r="W24" s="197"/>
      <c r="X24" s="197"/>
      <c r="Y24" s="197"/>
      <c r="Z24" s="197"/>
      <c r="AA24" s="197"/>
      <c r="AB24" s="197"/>
      <c r="AC24" s="197"/>
      <c r="AD24" s="197"/>
      <c r="AE24" s="197"/>
      <c r="AF24" s="197"/>
      <c r="AG24" s="197"/>
      <c r="AH24" s="197"/>
      <c r="AI24" s="198"/>
      <c r="AJ24" s="108"/>
      <c r="AK24" s="203">
        <v>1</v>
      </c>
      <c r="AL24" s="205">
        <v>1</v>
      </c>
      <c r="AM24" s="207">
        <v>0</v>
      </c>
      <c r="AN24" s="205">
        <v>1</v>
      </c>
      <c r="AO24" s="132"/>
      <c r="AP24" s="108"/>
      <c r="AQ24" s="202"/>
      <c r="AR24" s="202"/>
      <c r="AS24" s="202"/>
      <c r="AT24" s="202"/>
      <c r="AU24" s="202"/>
    </row>
    <row r="25" spans="1:47" s="110" customFormat="1" ht="7.5" customHeight="1">
      <c r="A25" s="154"/>
      <c r="B25" s="199"/>
      <c r="C25" s="200"/>
      <c r="D25" s="200"/>
      <c r="E25" s="200"/>
      <c r="F25" s="200"/>
      <c r="G25" s="200"/>
      <c r="H25" s="200"/>
      <c r="I25" s="200"/>
      <c r="J25" s="200"/>
      <c r="K25" s="200"/>
      <c r="L25" s="200"/>
      <c r="M25" s="200"/>
      <c r="N25" s="200"/>
      <c r="O25" s="200"/>
      <c r="P25" s="200"/>
      <c r="Q25" s="200"/>
      <c r="R25" s="200"/>
      <c r="S25" s="200"/>
      <c r="T25" s="200"/>
      <c r="U25" s="200"/>
      <c r="V25" s="200"/>
      <c r="W25" s="200"/>
      <c r="X25" s="200"/>
      <c r="Y25" s="200"/>
      <c r="Z25" s="200"/>
      <c r="AA25" s="200"/>
      <c r="AB25" s="200"/>
      <c r="AC25" s="200"/>
      <c r="AD25" s="200"/>
      <c r="AE25" s="200"/>
      <c r="AF25" s="200"/>
      <c r="AG25" s="200"/>
      <c r="AH25" s="200"/>
      <c r="AI25" s="201"/>
      <c r="AJ25" s="108"/>
      <c r="AK25" s="204"/>
      <c r="AL25" s="206"/>
      <c r="AM25" s="208"/>
      <c r="AN25" s="206"/>
      <c r="AO25" s="132"/>
      <c r="AP25" s="108"/>
      <c r="AQ25" s="202"/>
      <c r="AR25" s="202"/>
      <c r="AS25" s="202"/>
      <c r="AT25" s="202"/>
      <c r="AU25" s="202"/>
    </row>
    <row r="26" spans="1:47" s="110" customFormat="1" ht="3" customHeight="1">
      <c r="A26" s="154"/>
      <c r="B26" s="108"/>
      <c r="C26" s="108"/>
      <c r="D26" s="108"/>
      <c r="E26" s="108"/>
      <c r="F26" s="108"/>
      <c r="G26" s="108"/>
      <c r="H26" s="108"/>
      <c r="I26" s="108"/>
      <c r="J26" s="108"/>
      <c r="K26" s="108"/>
      <c r="L26" s="108"/>
      <c r="M26" s="108"/>
      <c r="N26" s="108"/>
      <c r="O26" s="108"/>
      <c r="P26" s="108"/>
      <c r="Q26" s="108"/>
      <c r="R26" s="108"/>
      <c r="S26" s="108"/>
      <c r="T26" s="108"/>
      <c r="U26" s="108"/>
      <c r="V26" s="108"/>
      <c r="W26" s="108"/>
      <c r="X26" s="108"/>
      <c r="Y26" s="108"/>
      <c r="Z26" s="108"/>
      <c r="AA26" s="108"/>
      <c r="AB26" s="108"/>
      <c r="AC26" s="108"/>
      <c r="AD26" s="108"/>
      <c r="AE26" s="108"/>
      <c r="AF26" s="108"/>
      <c r="AG26" s="108"/>
      <c r="AH26" s="108"/>
      <c r="AI26" s="108"/>
      <c r="AJ26" s="108"/>
      <c r="AK26" s="108"/>
      <c r="AL26" s="108"/>
      <c r="AM26" s="108"/>
      <c r="AN26" s="108"/>
      <c r="AO26" s="132"/>
      <c r="AP26" s="108"/>
      <c r="AQ26" s="109"/>
    </row>
    <row r="27" spans="1:47" s="110" customFormat="1" ht="10.5" customHeight="1">
      <c r="A27" s="153">
        <v>5</v>
      </c>
      <c r="B27" s="108" t="s">
        <v>19</v>
      </c>
      <c r="C27" s="108"/>
      <c r="D27" s="108"/>
      <c r="E27" s="108"/>
      <c r="F27" s="108"/>
      <c r="G27" s="108"/>
      <c r="H27" s="108"/>
      <c r="I27" s="108"/>
      <c r="J27" s="108"/>
      <c r="K27" s="108"/>
      <c r="L27" s="108"/>
      <c r="M27" s="108"/>
      <c r="N27" s="108"/>
      <c r="O27" s="108"/>
      <c r="P27" s="108"/>
      <c r="Q27" s="108"/>
      <c r="R27" s="108"/>
      <c r="S27" s="108"/>
      <c r="T27" s="108"/>
      <c r="U27" s="108"/>
      <c r="V27" s="108"/>
      <c r="W27" s="108"/>
      <c r="X27" s="108"/>
      <c r="Y27" s="108"/>
      <c r="Z27" s="108"/>
      <c r="AA27" s="108"/>
      <c r="AB27" s="108"/>
      <c r="AC27" s="108"/>
      <c r="AD27" s="108"/>
      <c r="AE27" s="108"/>
      <c r="AF27" s="108"/>
      <c r="AG27" s="108"/>
      <c r="AH27" s="108"/>
      <c r="AI27" s="108"/>
      <c r="AJ27" s="108"/>
      <c r="AK27" s="108"/>
      <c r="AL27" s="108"/>
      <c r="AM27" s="108"/>
      <c r="AN27" s="108"/>
      <c r="AO27" s="132"/>
      <c r="AP27" s="108"/>
      <c r="AQ27" s="109"/>
    </row>
    <row r="28" spans="1:47" s="110" customFormat="1" ht="10.5" customHeight="1">
      <c r="A28" s="154"/>
      <c r="B28" s="108"/>
      <c r="C28" s="108"/>
      <c r="D28" s="108"/>
      <c r="E28" s="108"/>
      <c r="F28" s="108"/>
      <c r="G28" s="108"/>
      <c r="H28" s="108"/>
      <c r="I28" s="108"/>
      <c r="J28" s="108"/>
      <c r="K28" s="108"/>
      <c r="L28" s="108"/>
      <c r="M28" s="108"/>
      <c r="N28" s="108"/>
      <c r="O28" s="108"/>
      <c r="P28" s="108"/>
      <c r="Q28" s="108"/>
      <c r="R28" s="108"/>
      <c r="S28" s="108"/>
      <c r="T28" s="108"/>
      <c r="U28" s="108"/>
      <c r="V28" s="108"/>
      <c r="W28" s="108"/>
      <c r="X28" s="108"/>
      <c r="Y28" s="108"/>
      <c r="Z28" s="108"/>
      <c r="AA28" s="108"/>
      <c r="AB28" s="108"/>
      <c r="AC28" s="108"/>
      <c r="AD28" s="108"/>
      <c r="AE28" s="108"/>
      <c r="AF28" s="108"/>
      <c r="AG28" s="108"/>
      <c r="AH28" s="108"/>
      <c r="AI28" s="108"/>
      <c r="AJ28" s="108"/>
      <c r="AK28" s="108"/>
      <c r="AL28" s="108"/>
      <c r="AM28" s="108"/>
      <c r="AN28" s="108"/>
      <c r="AO28" s="132"/>
      <c r="AP28" s="108"/>
      <c r="AQ28" s="109"/>
    </row>
    <row r="29" spans="1:47" s="110" customFormat="1" ht="10.5" customHeight="1" thickBot="1">
      <c r="A29" s="154"/>
      <c r="B29" s="108"/>
      <c r="C29" s="108"/>
      <c r="D29" s="108"/>
      <c r="E29" s="108"/>
      <c r="F29" s="108"/>
      <c r="G29" s="108"/>
      <c r="H29" s="108"/>
      <c r="I29" s="108"/>
      <c r="J29" s="108"/>
      <c r="K29" s="108"/>
      <c r="L29" s="108"/>
      <c r="M29" s="108"/>
      <c r="N29" s="108"/>
      <c r="O29" s="108"/>
      <c r="P29" s="108"/>
      <c r="Q29" s="108"/>
      <c r="R29" s="108"/>
      <c r="S29" s="108"/>
      <c r="T29" s="108"/>
      <c r="U29" s="108"/>
      <c r="V29" s="108"/>
      <c r="W29" s="108"/>
      <c r="X29" s="108"/>
      <c r="Y29" s="108"/>
      <c r="Z29" s="108"/>
      <c r="AA29" s="108"/>
      <c r="AB29" s="108"/>
      <c r="AC29" s="108"/>
      <c r="AD29" s="108"/>
      <c r="AE29" s="108"/>
      <c r="AF29" s="108"/>
      <c r="AG29" s="108"/>
      <c r="AH29" s="108"/>
      <c r="AI29" s="108"/>
      <c r="AJ29" s="108"/>
      <c r="AK29" s="108"/>
      <c r="AL29" s="108"/>
      <c r="AM29" s="108"/>
      <c r="AN29" s="108"/>
      <c r="AO29" s="132"/>
      <c r="AP29" s="108"/>
      <c r="AQ29" s="109"/>
    </row>
    <row r="30" spans="1:47" s="110" customFormat="1" ht="10.5" customHeight="1" thickBot="1">
      <c r="A30" s="209" t="s">
        <v>20</v>
      </c>
      <c r="B30" s="210"/>
      <c r="C30" s="210"/>
      <c r="D30" s="210"/>
      <c r="E30" s="210"/>
      <c r="F30" s="210"/>
      <c r="G30" s="210"/>
      <c r="H30" s="210"/>
      <c r="I30" s="210"/>
      <c r="J30" s="210"/>
      <c r="K30" s="210"/>
      <c r="L30" s="210"/>
      <c r="M30" s="210"/>
      <c r="N30" s="210"/>
      <c r="O30" s="210"/>
      <c r="P30" s="210"/>
      <c r="Q30" s="210"/>
      <c r="R30" s="210"/>
      <c r="S30" s="210"/>
      <c r="T30" s="210"/>
      <c r="U30" s="210"/>
      <c r="V30" s="210"/>
      <c r="W30" s="210"/>
      <c r="X30" s="210"/>
      <c r="Y30" s="210"/>
      <c r="Z30" s="210"/>
      <c r="AA30" s="210"/>
      <c r="AB30" s="210"/>
      <c r="AC30" s="210"/>
      <c r="AD30" s="210"/>
      <c r="AE30" s="210"/>
      <c r="AF30" s="210"/>
      <c r="AG30" s="210"/>
      <c r="AH30" s="210"/>
      <c r="AI30" s="210"/>
      <c r="AJ30" s="210"/>
      <c r="AK30" s="210"/>
      <c r="AL30" s="210"/>
      <c r="AM30" s="210"/>
      <c r="AN30" s="210"/>
      <c r="AO30" s="211"/>
      <c r="AP30" s="108"/>
      <c r="AQ30" s="109"/>
    </row>
    <row r="31" spans="1:47" s="110" customFormat="1" ht="3" customHeight="1">
      <c r="A31" s="168">
        <v>6</v>
      </c>
      <c r="B31" s="213" t="s">
        <v>11</v>
      </c>
      <c r="C31" s="213"/>
      <c r="D31" s="213"/>
      <c r="E31" s="213"/>
      <c r="F31" s="213"/>
      <c r="G31" s="213"/>
      <c r="H31" s="213"/>
      <c r="I31" s="213"/>
      <c r="J31" s="213"/>
      <c r="K31" s="213"/>
      <c r="L31" s="213"/>
      <c r="M31" s="213"/>
      <c r="N31" s="136"/>
      <c r="O31" s="136"/>
      <c r="P31" s="136"/>
      <c r="Q31" s="136"/>
      <c r="R31" s="136"/>
      <c r="S31" s="136"/>
      <c r="T31" s="136"/>
      <c r="U31" s="136"/>
      <c r="V31" s="136"/>
      <c r="W31" s="136"/>
      <c r="X31" s="136"/>
      <c r="Y31" s="136"/>
      <c r="Z31" s="136"/>
      <c r="AA31" s="136"/>
      <c r="AB31" s="136"/>
      <c r="AC31" s="136"/>
      <c r="AD31" s="136"/>
      <c r="AE31" s="136"/>
      <c r="AF31" s="136"/>
      <c r="AG31" s="136"/>
      <c r="AH31" s="136"/>
      <c r="AI31" s="136"/>
      <c r="AJ31" s="136"/>
      <c r="AK31" s="136"/>
      <c r="AL31" s="136"/>
      <c r="AM31" s="136"/>
      <c r="AN31" s="136"/>
      <c r="AO31" s="146"/>
      <c r="AP31" s="108"/>
      <c r="AQ31" s="109"/>
    </row>
    <row r="32" spans="1:47" s="110" customFormat="1" ht="5.25" customHeight="1">
      <c r="A32" s="169"/>
      <c r="B32" s="214"/>
      <c r="C32" s="214"/>
      <c r="D32" s="214"/>
      <c r="E32" s="214"/>
      <c r="F32" s="214"/>
      <c r="G32" s="214"/>
      <c r="H32" s="214"/>
      <c r="I32" s="214"/>
      <c r="J32" s="214"/>
      <c r="K32" s="214"/>
      <c r="L32" s="214"/>
      <c r="M32" s="214"/>
      <c r="N32" s="137"/>
      <c r="O32" s="138"/>
      <c r="P32" s="138"/>
      <c r="Q32" s="147"/>
      <c r="R32" s="137"/>
      <c r="S32" s="138"/>
      <c r="T32" s="138"/>
      <c r="U32" s="147"/>
      <c r="V32" s="137"/>
      <c r="W32" s="138"/>
      <c r="X32" s="138"/>
      <c r="Y32" s="147"/>
      <c r="Z32" s="137"/>
      <c r="AA32" s="138"/>
      <c r="AB32" s="138"/>
      <c r="AC32" s="138"/>
      <c r="AD32" s="139"/>
      <c r="AE32" s="108"/>
      <c r="AF32" s="108"/>
      <c r="AG32" s="108"/>
      <c r="AH32" s="108"/>
      <c r="AI32" s="108"/>
      <c r="AJ32" s="108"/>
      <c r="AK32" s="108"/>
      <c r="AL32" s="108"/>
      <c r="AM32" s="108"/>
      <c r="AN32" s="108"/>
      <c r="AO32" s="132"/>
      <c r="AP32" s="108"/>
      <c r="AQ32" s="109"/>
    </row>
    <row r="33" spans="1:43" s="110" customFormat="1" ht="16.350000000000001" customHeight="1">
      <c r="A33" s="212"/>
      <c r="B33" s="215"/>
      <c r="C33" s="215"/>
      <c r="D33" s="215"/>
      <c r="E33" s="215"/>
      <c r="F33" s="215"/>
      <c r="G33" s="215"/>
      <c r="H33" s="215"/>
      <c r="I33" s="215"/>
      <c r="J33" s="215"/>
      <c r="K33" s="215"/>
      <c r="L33" s="215"/>
      <c r="M33" s="215"/>
      <c r="N33" s="148">
        <v>0</v>
      </c>
      <c r="O33" s="149">
        <v>0</v>
      </c>
      <c r="P33" s="148">
        <v>0</v>
      </c>
      <c r="Q33" s="150" t="s">
        <v>12</v>
      </c>
      <c r="R33" s="148">
        <v>4</v>
      </c>
      <c r="S33" s="149">
        <v>8</v>
      </c>
      <c r="T33" s="148">
        <v>4</v>
      </c>
      <c r="U33" s="150" t="s">
        <v>12</v>
      </c>
      <c r="V33" s="148">
        <v>4</v>
      </c>
      <c r="W33" s="149">
        <v>1</v>
      </c>
      <c r="X33" s="148">
        <v>8</v>
      </c>
      <c r="Y33" s="150" t="s">
        <v>12</v>
      </c>
      <c r="Z33" s="148">
        <v>0</v>
      </c>
      <c r="AA33" s="149">
        <v>0</v>
      </c>
      <c r="AB33" s="148">
        <v>0</v>
      </c>
      <c r="AC33" s="148">
        <v>0</v>
      </c>
      <c r="AD33" s="148">
        <v>0</v>
      </c>
      <c r="AE33" s="151"/>
      <c r="AF33" s="151"/>
      <c r="AG33" s="151"/>
      <c r="AH33" s="151"/>
      <c r="AI33" s="151"/>
      <c r="AJ33" s="151"/>
      <c r="AK33" s="151"/>
      <c r="AL33" s="151"/>
      <c r="AM33" s="151"/>
      <c r="AN33" s="151"/>
      <c r="AO33" s="152"/>
      <c r="AP33" s="108"/>
      <c r="AQ33" s="109"/>
    </row>
    <row r="34" spans="1:43" s="110" customFormat="1" ht="10.5" customHeight="1">
      <c r="A34" s="153">
        <v>7</v>
      </c>
      <c r="B34" s="108" t="s">
        <v>21</v>
      </c>
      <c r="C34" s="108"/>
      <c r="D34" s="108"/>
      <c r="E34" s="108"/>
      <c r="F34" s="108"/>
      <c r="G34" s="108"/>
      <c r="H34" s="108"/>
      <c r="I34" s="108"/>
      <c r="J34" s="108"/>
      <c r="K34" s="108"/>
      <c r="L34" s="108"/>
      <c r="M34" s="108"/>
      <c r="N34" s="108"/>
      <c r="O34" s="108"/>
      <c r="P34" s="108"/>
      <c r="Q34" s="108"/>
      <c r="R34" s="108"/>
      <c r="S34" s="108"/>
      <c r="T34" s="108"/>
      <c r="U34" s="108"/>
      <c r="V34" s="108"/>
      <c r="W34" s="108"/>
      <c r="X34" s="108"/>
      <c r="Y34" s="108"/>
      <c r="Z34" s="108"/>
      <c r="AA34" s="108"/>
      <c r="AB34" s="108"/>
      <c r="AC34" s="108"/>
      <c r="AD34" s="108"/>
      <c r="AE34" s="108"/>
      <c r="AF34" s="108"/>
      <c r="AG34" s="108"/>
      <c r="AH34" s="108"/>
      <c r="AI34" s="108"/>
      <c r="AJ34" s="108"/>
      <c r="AK34" s="108"/>
      <c r="AL34" s="108"/>
      <c r="AM34" s="108"/>
      <c r="AN34" s="108"/>
      <c r="AO34" s="132"/>
      <c r="AP34" s="108"/>
      <c r="AQ34" s="109"/>
    </row>
    <row r="35" spans="1:43" s="110" customFormat="1" ht="9.6" customHeight="1">
      <c r="A35" s="154"/>
      <c r="B35" s="225" t="s">
        <v>22</v>
      </c>
      <c r="C35" s="226"/>
      <c r="D35" s="226"/>
      <c r="E35" s="226"/>
      <c r="F35" s="226"/>
      <c r="G35" s="226"/>
      <c r="H35" s="226"/>
      <c r="I35" s="226"/>
      <c r="J35" s="226"/>
      <c r="K35" s="226"/>
      <c r="L35" s="226"/>
      <c r="M35" s="226"/>
      <c r="N35" s="226"/>
      <c r="O35" s="226"/>
      <c r="P35" s="226"/>
      <c r="Q35" s="226"/>
      <c r="R35" s="226"/>
      <c r="S35" s="226"/>
      <c r="T35" s="226"/>
      <c r="U35" s="226"/>
      <c r="V35" s="226"/>
      <c r="W35" s="226"/>
      <c r="X35" s="226"/>
      <c r="Y35" s="226"/>
      <c r="Z35" s="226"/>
      <c r="AA35" s="226"/>
      <c r="AB35" s="226"/>
      <c r="AC35" s="226"/>
      <c r="AD35" s="226"/>
      <c r="AE35" s="226"/>
      <c r="AF35" s="226"/>
      <c r="AG35" s="226"/>
      <c r="AH35" s="226"/>
      <c r="AI35" s="226"/>
      <c r="AJ35" s="226"/>
      <c r="AK35" s="226"/>
      <c r="AL35" s="226"/>
      <c r="AM35" s="226"/>
      <c r="AN35" s="227"/>
      <c r="AO35" s="132"/>
      <c r="AP35" s="108"/>
      <c r="AQ35" s="109"/>
    </row>
    <row r="36" spans="1:43" s="110" customFormat="1" ht="9.6" customHeight="1">
      <c r="A36" s="154"/>
      <c r="B36" s="228"/>
      <c r="C36" s="229"/>
      <c r="D36" s="229"/>
      <c r="E36" s="229"/>
      <c r="F36" s="229"/>
      <c r="G36" s="229"/>
      <c r="H36" s="229"/>
      <c r="I36" s="229"/>
      <c r="J36" s="229"/>
      <c r="K36" s="229"/>
      <c r="L36" s="229"/>
      <c r="M36" s="229"/>
      <c r="N36" s="229"/>
      <c r="O36" s="229"/>
      <c r="P36" s="229"/>
      <c r="Q36" s="229"/>
      <c r="R36" s="229"/>
      <c r="S36" s="229"/>
      <c r="T36" s="229"/>
      <c r="U36" s="229"/>
      <c r="V36" s="229"/>
      <c r="W36" s="229"/>
      <c r="X36" s="229"/>
      <c r="Y36" s="229"/>
      <c r="Z36" s="229"/>
      <c r="AA36" s="229"/>
      <c r="AB36" s="229"/>
      <c r="AC36" s="229"/>
      <c r="AD36" s="229"/>
      <c r="AE36" s="229"/>
      <c r="AF36" s="229"/>
      <c r="AG36" s="229"/>
      <c r="AH36" s="229"/>
      <c r="AI36" s="229"/>
      <c r="AJ36" s="229"/>
      <c r="AK36" s="229"/>
      <c r="AL36" s="229"/>
      <c r="AM36" s="229"/>
      <c r="AN36" s="230"/>
      <c r="AO36" s="132"/>
      <c r="AP36" s="108"/>
      <c r="AQ36" s="109"/>
    </row>
    <row r="37" spans="1:43" s="110" customFormat="1" ht="3" customHeight="1">
      <c r="A37" s="154"/>
      <c r="B37" s="108"/>
      <c r="C37" s="108"/>
      <c r="D37" s="108"/>
      <c r="E37" s="108"/>
      <c r="F37" s="108"/>
      <c r="G37" s="108"/>
      <c r="H37" s="108"/>
      <c r="I37" s="108"/>
      <c r="J37" s="108"/>
      <c r="K37" s="108"/>
      <c r="L37" s="108"/>
      <c r="M37" s="108"/>
      <c r="N37" s="108"/>
      <c r="O37" s="108"/>
      <c r="P37" s="108"/>
      <c r="Q37" s="108"/>
      <c r="R37" s="108"/>
      <c r="S37" s="108"/>
      <c r="T37" s="108"/>
      <c r="U37" s="108"/>
      <c r="V37" s="108"/>
      <c r="W37" s="108"/>
      <c r="X37" s="108"/>
      <c r="Y37" s="108"/>
      <c r="Z37" s="108"/>
      <c r="AA37" s="108"/>
      <c r="AB37" s="108"/>
      <c r="AC37" s="108"/>
      <c r="AD37" s="108"/>
      <c r="AE37" s="108"/>
      <c r="AF37" s="108"/>
      <c r="AG37" s="108"/>
      <c r="AH37" s="108"/>
      <c r="AI37" s="108"/>
      <c r="AJ37" s="108"/>
      <c r="AK37" s="108"/>
      <c r="AL37" s="108"/>
      <c r="AM37" s="108"/>
      <c r="AN37" s="108"/>
      <c r="AO37" s="132"/>
      <c r="AP37" s="108"/>
      <c r="AQ37" s="109"/>
    </row>
    <row r="38" spans="1:43" s="110" customFormat="1" ht="10.5" customHeight="1">
      <c r="A38" s="153">
        <v>8</v>
      </c>
      <c r="B38" s="108" t="s">
        <v>15</v>
      </c>
      <c r="C38" s="108"/>
      <c r="D38" s="108"/>
      <c r="E38" s="108"/>
      <c r="F38" s="108"/>
      <c r="G38" s="108"/>
      <c r="H38" s="108"/>
      <c r="I38" s="108"/>
      <c r="J38" s="108"/>
      <c r="K38" s="108"/>
      <c r="L38" s="108"/>
      <c r="M38" s="108"/>
      <c r="N38" s="108"/>
      <c r="O38" s="108"/>
      <c r="P38" s="108"/>
      <c r="Q38" s="108"/>
      <c r="R38" s="108"/>
      <c r="S38" s="108"/>
      <c r="T38" s="108"/>
      <c r="U38" s="108"/>
      <c r="V38" s="108"/>
      <c r="W38" s="108"/>
      <c r="X38" s="108"/>
      <c r="Y38" s="108"/>
      <c r="Z38" s="108"/>
      <c r="AA38" s="108"/>
      <c r="AB38" s="108"/>
      <c r="AC38" s="108"/>
      <c r="AD38" s="108"/>
      <c r="AE38" s="108"/>
      <c r="AF38" s="108"/>
      <c r="AG38" s="108"/>
      <c r="AH38" s="108"/>
      <c r="AI38" s="108"/>
      <c r="AJ38" s="108"/>
      <c r="AK38" s="112" t="s">
        <v>23</v>
      </c>
      <c r="AL38" s="108" t="s">
        <v>17</v>
      </c>
      <c r="AM38" s="108"/>
      <c r="AN38" s="108"/>
      <c r="AO38" s="132"/>
      <c r="AP38" s="108"/>
      <c r="AQ38" s="109"/>
    </row>
    <row r="39" spans="1:43" s="110" customFormat="1" ht="3.6" customHeight="1">
      <c r="A39" s="154"/>
      <c r="B39" s="219" t="s">
        <v>24</v>
      </c>
      <c r="C39" s="220"/>
      <c r="D39" s="220"/>
      <c r="E39" s="220"/>
      <c r="F39" s="220"/>
      <c r="G39" s="220"/>
      <c r="H39" s="220"/>
      <c r="I39" s="220"/>
      <c r="J39" s="220"/>
      <c r="K39" s="220"/>
      <c r="L39" s="220"/>
      <c r="M39" s="220"/>
      <c r="N39" s="220"/>
      <c r="O39" s="220"/>
      <c r="P39" s="220"/>
      <c r="Q39" s="220"/>
      <c r="R39" s="220"/>
      <c r="S39" s="220"/>
      <c r="T39" s="220"/>
      <c r="U39" s="220"/>
      <c r="V39" s="220"/>
      <c r="W39" s="220"/>
      <c r="X39" s="220"/>
      <c r="Y39" s="220"/>
      <c r="Z39" s="220"/>
      <c r="AA39" s="220"/>
      <c r="AB39" s="220"/>
      <c r="AC39" s="220"/>
      <c r="AD39" s="220"/>
      <c r="AE39" s="220"/>
      <c r="AF39" s="220"/>
      <c r="AG39" s="220"/>
      <c r="AH39" s="220"/>
      <c r="AI39" s="221"/>
      <c r="AJ39" s="108"/>
      <c r="AK39" s="137"/>
      <c r="AL39" s="138"/>
      <c r="AM39" s="138"/>
      <c r="AN39" s="139"/>
      <c r="AO39" s="132"/>
      <c r="AP39" s="108"/>
      <c r="AQ39" s="109"/>
    </row>
    <row r="40" spans="1:43" s="110" customFormat="1" ht="7.5" customHeight="1">
      <c r="A40" s="154"/>
      <c r="B40" s="231"/>
      <c r="C40" s="232"/>
      <c r="D40" s="232"/>
      <c r="E40" s="232"/>
      <c r="F40" s="232"/>
      <c r="G40" s="232"/>
      <c r="H40" s="232"/>
      <c r="I40" s="232"/>
      <c r="J40" s="232"/>
      <c r="K40" s="232"/>
      <c r="L40" s="232"/>
      <c r="M40" s="232"/>
      <c r="N40" s="232"/>
      <c r="O40" s="232"/>
      <c r="P40" s="232"/>
      <c r="Q40" s="232"/>
      <c r="R40" s="232"/>
      <c r="S40" s="232"/>
      <c r="T40" s="232"/>
      <c r="U40" s="232"/>
      <c r="V40" s="232"/>
      <c r="W40" s="232"/>
      <c r="X40" s="232"/>
      <c r="Y40" s="232"/>
      <c r="Z40" s="232"/>
      <c r="AA40" s="232"/>
      <c r="AB40" s="232"/>
      <c r="AC40" s="232"/>
      <c r="AD40" s="232"/>
      <c r="AE40" s="232"/>
      <c r="AF40" s="232"/>
      <c r="AG40" s="232"/>
      <c r="AH40" s="232"/>
      <c r="AI40" s="233"/>
      <c r="AJ40" s="108"/>
      <c r="AK40" s="203">
        <v>1</v>
      </c>
      <c r="AL40" s="205">
        <v>2</v>
      </c>
      <c r="AM40" s="207">
        <v>2</v>
      </c>
      <c r="AN40" s="205">
        <v>3</v>
      </c>
      <c r="AO40" s="132"/>
      <c r="AP40" s="108"/>
      <c r="AQ40" s="109"/>
    </row>
    <row r="41" spans="1:43" s="110" customFormat="1" ht="7.5" customHeight="1">
      <c r="A41" s="154"/>
      <c r="B41" s="222"/>
      <c r="C41" s="223"/>
      <c r="D41" s="223"/>
      <c r="E41" s="223"/>
      <c r="F41" s="223"/>
      <c r="G41" s="223"/>
      <c r="H41" s="223"/>
      <c r="I41" s="223"/>
      <c r="J41" s="223"/>
      <c r="K41" s="223"/>
      <c r="L41" s="223"/>
      <c r="M41" s="223"/>
      <c r="N41" s="223"/>
      <c r="O41" s="223"/>
      <c r="P41" s="223"/>
      <c r="Q41" s="223"/>
      <c r="R41" s="223"/>
      <c r="S41" s="223"/>
      <c r="T41" s="223"/>
      <c r="U41" s="223"/>
      <c r="V41" s="223"/>
      <c r="W41" s="223"/>
      <c r="X41" s="223"/>
      <c r="Y41" s="223"/>
      <c r="Z41" s="223"/>
      <c r="AA41" s="223"/>
      <c r="AB41" s="223"/>
      <c r="AC41" s="223"/>
      <c r="AD41" s="223"/>
      <c r="AE41" s="223"/>
      <c r="AF41" s="223"/>
      <c r="AG41" s="223"/>
      <c r="AH41" s="223"/>
      <c r="AI41" s="224"/>
      <c r="AJ41" s="108"/>
      <c r="AK41" s="204"/>
      <c r="AL41" s="206"/>
      <c r="AM41" s="208"/>
      <c r="AN41" s="206"/>
      <c r="AO41" s="132"/>
      <c r="AP41" s="108"/>
      <c r="AQ41" s="109"/>
    </row>
    <row r="42" spans="1:43" s="110" customFormat="1" ht="3.6" customHeight="1" thickBot="1">
      <c r="A42" s="153"/>
      <c r="B42" s="108"/>
      <c r="C42" s="108"/>
      <c r="D42" s="108"/>
      <c r="E42" s="108"/>
      <c r="F42" s="108"/>
      <c r="G42" s="108"/>
      <c r="H42" s="108"/>
      <c r="I42" s="108"/>
      <c r="J42" s="108"/>
      <c r="K42" s="108"/>
      <c r="L42" s="108"/>
      <c r="M42" s="108"/>
      <c r="N42" s="108"/>
      <c r="O42" s="108"/>
      <c r="P42" s="108"/>
      <c r="Q42" s="108"/>
      <c r="R42" s="108"/>
      <c r="S42" s="108"/>
      <c r="T42" s="108"/>
      <c r="U42" s="108"/>
      <c r="V42" s="108"/>
      <c r="W42" s="108"/>
      <c r="X42" s="108"/>
      <c r="Y42" s="108"/>
      <c r="Z42" s="108"/>
      <c r="AA42" s="108"/>
      <c r="AB42" s="108"/>
      <c r="AC42" s="108"/>
      <c r="AD42" s="108"/>
      <c r="AE42" s="108"/>
      <c r="AF42" s="108"/>
      <c r="AG42" s="108"/>
      <c r="AH42" s="108"/>
      <c r="AI42" s="108"/>
      <c r="AJ42" s="108"/>
      <c r="AK42" s="112"/>
      <c r="AL42" s="108"/>
      <c r="AM42" s="108"/>
      <c r="AN42" s="108"/>
      <c r="AO42" s="132"/>
      <c r="AP42" s="108"/>
      <c r="AQ42" s="109"/>
    </row>
    <row r="43" spans="1:43" s="110" customFormat="1" ht="10.5" customHeight="1" thickBot="1">
      <c r="A43" s="234" t="s">
        <v>25</v>
      </c>
      <c r="B43" s="235"/>
      <c r="C43" s="235"/>
      <c r="D43" s="235"/>
      <c r="E43" s="235"/>
      <c r="F43" s="235"/>
      <c r="G43" s="235"/>
      <c r="H43" s="235"/>
      <c r="I43" s="235"/>
      <c r="J43" s="235"/>
      <c r="K43" s="235"/>
      <c r="L43" s="235"/>
      <c r="M43" s="235"/>
      <c r="N43" s="235"/>
      <c r="O43" s="235"/>
      <c r="P43" s="235"/>
      <c r="Q43" s="235"/>
      <c r="R43" s="235"/>
      <c r="S43" s="235"/>
      <c r="T43" s="235"/>
      <c r="U43" s="235"/>
      <c r="V43" s="235"/>
      <c r="W43" s="235"/>
      <c r="X43" s="235"/>
      <c r="Y43" s="235"/>
      <c r="Z43" s="235"/>
      <c r="AA43" s="235"/>
      <c r="AB43" s="235"/>
      <c r="AC43" s="235"/>
      <c r="AD43" s="235"/>
      <c r="AE43" s="235"/>
      <c r="AF43" s="235"/>
      <c r="AG43" s="235"/>
      <c r="AH43" s="235"/>
      <c r="AI43" s="235"/>
      <c r="AJ43" s="235"/>
      <c r="AK43" s="235"/>
      <c r="AL43" s="235"/>
      <c r="AM43" s="235"/>
      <c r="AN43" s="235"/>
      <c r="AO43" s="236"/>
      <c r="AP43" s="108"/>
      <c r="AQ43" s="109"/>
    </row>
    <row r="44" spans="1:43" s="110" customFormat="1" ht="10.5" customHeight="1">
      <c r="A44" s="237" t="s">
        <v>26</v>
      </c>
      <c r="B44" s="238"/>
      <c r="C44" s="238"/>
      <c r="D44" s="238"/>
      <c r="E44" s="238"/>
      <c r="F44" s="238"/>
      <c r="G44" s="238"/>
      <c r="H44" s="238"/>
      <c r="I44" s="238"/>
      <c r="J44" s="238"/>
      <c r="K44" s="239"/>
      <c r="L44" s="246" t="s">
        <v>27</v>
      </c>
      <c r="M44" s="238"/>
      <c r="N44" s="239"/>
      <c r="O44" s="249" t="s">
        <v>28</v>
      </c>
      <c r="P44" s="250"/>
      <c r="Q44" s="250"/>
      <c r="R44" s="250"/>
      <c r="S44" s="250"/>
      <c r="T44" s="250"/>
      <c r="U44" s="250"/>
      <c r="V44" s="250"/>
      <c r="W44" s="250"/>
      <c r="X44" s="250"/>
      <c r="Y44" s="250"/>
      <c r="Z44" s="250"/>
      <c r="AA44" s="250"/>
      <c r="AB44" s="250"/>
      <c r="AC44" s="250"/>
      <c r="AD44" s="250"/>
      <c r="AE44" s="250"/>
      <c r="AF44" s="250"/>
      <c r="AG44" s="250"/>
      <c r="AH44" s="251"/>
      <c r="AI44" s="246" t="s">
        <v>29</v>
      </c>
      <c r="AJ44" s="238"/>
      <c r="AK44" s="238"/>
      <c r="AL44" s="238"/>
      <c r="AM44" s="238"/>
      <c r="AN44" s="238"/>
      <c r="AO44" s="252"/>
      <c r="AP44" s="108"/>
      <c r="AQ44" s="109"/>
    </row>
    <row r="45" spans="1:43" s="110" customFormat="1" ht="10.5" customHeight="1">
      <c r="A45" s="240"/>
      <c r="B45" s="241"/>
      <c r="C45" s="241"/>
      <c r="D45" s="241"/>
      <c r="E45" s="241"/>
      <c r="F45" s="241"/>
      <c r="G45" s="241"/>
      <c r="H45" s="241"/>
      <c r="I45" s="241"/>
      <c r="J45" s="241"/>
      <c r="K45" s="242"/>
      <c r="L45" s="247"/>
      <c r="M45" s="241"/>
      <c r="N45" s="242"/>
      <c r="O45" s="255" t="s">
        <v>30</v>
      </c>
      <c r="P45" s="256"/>
      <c r="Q45" s="256"/>
      <c r="R45" s="256"/>
      <c r="S45" s="257"/>
      <c r="T45" s="255" t="s">
        <v>31</v>
      </c>
      <c r="U45" s="256"/>
      <c r="V45" s="256"/>
      <c r="W45" s="256"/>
      <c r="X45" s="257"/>
      <c r="Y45" s="255" t="s">
        <v>32</v>
      </c>
      <c r="Z45" s="256"/>
      <c r="AA45" s="256"/>
      <c r="AB45" s="256"/>
      <c r="AC45" s="257"/>
      <c r="AD45" s="255" t="s">
        <v>33</v>
      </c>
      <c r="AE45" s="256"/>
      <c r="AF45" s="256"/>
      <c r="AG45" s="256"/>
      <c r="AH45" s="257"/>
      <c r="AI45" s="247"/>
      <c r="AJ45" s="241"/>
      <c r="AK45" s="241"/>
      <c r="AL45" s="241"/>
      <c r="AM45" s="241"/>
      <c r="AN45" s="241"/>
      <c r="AO45" s="253"/>
      <c r="AP45" s="108"/>
      <c r="AQ45" s="216" t="s">
        <v>27</v>
      </c>
    </row>
    <row r="46" spans="1:43" s="110" customFormat="1" ht="10.5" customHeight="1">
      <c r="A46" s="243"/>
      <c r="B46" s="244"/>
      <c r="C46" s="244"/>
      <c r="D46" s="244"/>
      <c r="E46" s="244"/>
      <c r="F46" s="244"/>
      <c r="G46" s="244"/>
      <c r="H46" s="244"/>
      <c r="I46" s="244"/>
      <c r="J46" s="244"/>
      <c r="K46" s="245"/>
      <c r="L46" s="248"/>
      <c r="M46" s="244"/>
      <c r="N46" s="245"/>
      <c r="O46" s="248"/>
      <c r="P46" s="244"/>
      <c r="Q46" s="244"/>
      <c r="R46" s="244"/>
      <c r="S46" s="245"/>
      <c r="T46" s="248"/>
      <c r="U46" s="244"/>
      <c r="V46" s="244"/>
      <c r="W46" s="244"/>
      <c r="X46" s="245"/>
      <c r="Y46" s="248"/>
      <c r="Z46" s="244"/>
      <c r="AA46" s="244"/>
      <c r="AB46" s="244"/>
      <c r="AC46" s="245"/>
      <c r="AD46" s="248"/>
      <c r="AE46" s="244"/>
      <c r="AF46" s="244"/>
      <c r="AG46" s="244"/>
      <c r="AH46" s="245"/>
      <c r="AI46" s="248"/>
      <c r="AJ46" s="244"/>
      <c r="AK46" s="244"/>
      <c r="AL46" s="244"/>
      <c r="AM46" s="244"/>
      <c r="AN46" s="244"/>
      <c r="AO46" s="254"/>
      <c r="AP46" s="108"/>
      <c r="AQ46" s="216"/>
    </row>
    <row r="47" spans="1:43" s="110" customFormat="1" ht="15" customHeight="1">
      <c r="A47" s="258" t="str">
        <f>IFERROR(VLOOKUP(L47,[3]Page2!$AP$7:$AR$115,2,0),"")</f>
        <v>INCOME PAYMENT MADE BY TOP WITHHOLDING AGENTS TO THEIR LOCAL/RESIDENT SUPPLIER OF GOODS OTHER THAN THOSE COVERED BY OTHER RATES OF WITHHOLDING TAX</v>
      </c>
      <c r="B47" s="259"/>
      <c r="C47" s="259"/>
      <c r="D47" s="259"/>
      <c r="E47" s="259"/>
      <c r="F47" s="259"/>
      <c r="G47" s="259"/>
      <c r="H47" s="259"/>
      <c r="I47" s="259"/>
      <c r="J47" s="259"/>
      <c r="K47" s="260"/>
      <c r="L47" s="267" t="s">
        <v>102</v>
      </c>
      <c r="M47" s="268"/>
      <c r="N47" s="269"/>
      <c r="O47" s="270">
        <v>474428.57</v>
      </c>
      <c r="P47" s="271"/>
      <c r="Q47" s="271"/>
      <c r="R47" s="271"/>
      <c r="S47" s="272"/>
      <c r="T47" s="270"/>
      <c r="U47" s="271"/>
      <c r="V47" s="271"/>
      <c r="W47" s="271"/>
      <c r="X47" s="272"/>
      <c r="Y47" s="270"/>
      <c r="Z47" s="271"/>
      <c r="AA47" s="271"/>
      <c r="AB47" s="271"/>
      <c r="AC47" s="272"/>
      <c r="AD47" s="270">
        <f>IFERROR(ROUND(SUM(O47:AC47),2),"")</f>
        <v>474428.57</v>
      </c>
      <c r="AE47" s="271"/>
      <c r="AF47" s="271"/>
      <c r="AG47" s="271"/>
      <c r="AH47" s="272"/>
      <c r="AI47" s="270">
        <f>IFERROR(ROUND(AD47*AQ47,2),"")</f>
        <v>4744.29</v>
      </c>
      <c r="AJ47" s="271"/>
      <c r="AK47" s="271"/>
      <c r="AL47" s="271"/>
      <c r="AM47" s="271"/>
      <c r="AN47" s="271"/>
      <c r="AO47" s="273"/>
      <c r="AP47" s="108"/>
      <c r="AQ47" s="155">
        <f>IFERROR(VLOOKUP(L47,[3]Page2!$AP$7:$AR$115,3,0),"")</f>
        <v>0.01</v>
      </c>
    </row>
    <row r="48" spans="1:43" s="110" customFormat="1" ht="15" customHeight="1">
      <c r="A48" s="261"/>
      <c r="B48" s="262"/>
      <c r="C48" s="262"/>
      <c r="D48" s="262"/>
      <c r="E48" s="262"/>
      <c r="F48" s="262"/>
      <c r="G48" s="262"/>
      <c r="H48" s="262"/>
      <c r="I48" s="262"/>
      <c r="J48" s="262"/>
      <c r="K48" s="263"/>
      <c r="L48" s="274"/>
      <c r="M48" s="275"/>
      <c r="N48" s="276"/>
      <c r="O48" s="270"/>
      <c r="P48" s="271"/>
      <c r="Q48" s="271"/>
      <c r="R48" s="271"/>
      <c r="S48" s="272"/>
      <c r="T48" s="270"/>
      <c r="U48" s="271"/>
      <c r="V48" s="271"/>
      <c r="W48" s="271"/>
      <c r="X48" s="272"/>
      <c r="Y48" s="270"/>
      <c r="Z48" s="271"/>
      <c r="AA48" s="271"/>
      <c r="AB48" s="271"/>
      <c r="AC48" s="272"/>
      <c r="AD48" s="270"/>
      <c r="AE48" s="271"/>
      <c r="AF48" s="271"/>
      <c r="AG48" s="271"/>
      <c r="AH48" s="272"/>
      <c r="AI48" s="270" t="str">
        <f t="shared" ref="AI48:AI58" si="0">IFERROR(ROUND(AD48*AQ48,2),"")</f>
        <v/>
      </c>
      <c r="AJ48" s="271"/>
      <c r="AK48" s="271"/>
      <c r="AL48" s="271"/>
      <c r="AM48" s="271"/>
      <c r="AN48" s="271"/>
      <c r="AO48" s="273"/>
      <c r="AP48" s="108"/>
      <c r="AQ48" s="155" t="str">
        <f>IFERROR(VLOOKUP(L48,[3]Page2!$AP$7:$AR$115,3,0),"")</f>
        <v/>
      </c>
    </row>
    <row r="49" spans="1:43" s="110" customFormat="1" ht="15" customHeight="1">
      <c r="A49" s="261"/>
      <c r="B49" s="262"/>
      <c r="C49" s="262"/>
      <c r="D49" s="262"/>
      <c r="E49" s="262"/>
      <c r="F49" s="262"/>
      <c r="G49" s="262"/>
      <c r="H49" s="262"/>
      <c r="I49" s="262"/>
      <c r="J49" s="262"/>
      <c r="K49" s="263"/>
      <c r="L49" s="274"/>
      <c r="M49" s="275"/>
      <c r="N49" s="276"/>
      <c r="O49" s="270"/>
      <c r="P49" s="271"/>
      <c r="Q49" s="271"/>
      <c r="R49" s="271"/>
      <c r="S49" s="272"/>
      <c r="T49" s="270"/>
      <c r="U49" s="271"/>
      <c r="V49" s="271"/>
      <c r="W49" s="271"/>
      <c r="X49" s="272"/>
      <c r="Y49" s="270"/>
      <c r="Z49" s="271"/>
      <c r="AA49" s="271"/>
      <c r="AB49" s="271"/>
      <c r="AC49" s="272"/>
      <c r="AD49" s="270"/>
      <c r="AE49" s="271"/>
      <c r="AF49" s="271"/>
      <c r="AG49" s="271"/>
      <c r="AH49" s="272"/>
      <c r="AI49" s="270" t="str">
        <f t="shared" si="0"/>
        <v/>
      </c>
      <c r="AJ49" s="271"/>
      <c r="AK49" s="271"/>
      <c r="AL49" s="271"/>
      <c r="AM49" s="271"/>
      <c r="AN49" s="271"/>
      <c r="AO49" s="273"/>
      <c r="AP49" s="108"/>
      <c r="AQ49" s="155" t="str">
        <f>IFERROR(VLOOKUP(L49,[3]Page2!$AP$7:$AR$115,3,0),"")</f>
        <v/>
      </c>
    </row>
    <row r="50" spans="1:43" s="110" customFormat="1" ht="15" customHeight="1">
      <c r="A50" s="264"/>
      <c r="B50" s="265"/>
      <c r="C50" s="265"/>
      <c r="D50" s="265"/>
      <c r="E50" s="265"/>
      <c r="F50" s="265"/>
      <c r="G50" s="265"/>
      <c r="H50" s="265"/>
      <c r="I50" s="265"/>
      <c r="J50" s="265"/>
      <c r="K50" s="266"/>
      <c r="L50" s="274"/>
      <c r="M50" s="275"/>
      <c r="N50" s="276"/>
      <c r="O50" s="270"/>
      <c r="P50" s="271"/>
      <c r="Q50" s="271"/>
      <c r="R50" s="271"/>
      <c r="S50" s="272"/>
      <c r="T50" s="270"/>
      <c r="U50" s="271"/>
      <c r="V50" s="271"/>
      <c r="W50" s="271"/>
      <c r="X50" s="272"/>
      <c r="Y50" s="270"/>
      <c r="Z50" s="271"/>
      <c r="AA50" s="271"/>
      <c r="AB50" s="271"/>
      <c r="AC50" s="272"/>
      <c r="AD50" s="270"/>
      <c r="AE50" s="271"/>
      <c r="AF50" s="271"/>
      <c r="AG50" s="271"/>
      <c r="AH50" s="272"/>
      <c r="AI50" s="270" t="str">
        <f>IFERROR(ROUND(AD50*AQ50,2),"")</f>
        <v/>
      </c>
      <c r="AJ50" s="271"/>
      <c r="AK50" s="271"/>
      <c r="AL50" s="271"/>
      <c r="AM50" s="271"/>
      <c r="AN50" s="271"/>
      <c r="AO50" s="273"/>
      <c r="AP50" s="108"/>
      <c r="AQ50" s="155" t="str">
        <f>IFERROR(VLOOKUP(L50,[3]Page2!$AP$7:$AR$115,3,0),"")</f>
        <v/>
      </c>
    </row>
    <row r="51" spans="1:43" s="110" customFormat="1" ht="15" customHeight="1">
      <c r="A51" s="156"/>
      <c r="B51" s="157"/>
      <c r="C51" s="157"/>
      <c r="D51" s="157"/>
      <c r="E51" s="157"/>
      <c r="F51" s="157"/>
      <c r="G51" s="157"/>
      <c r="H51" s="157"/>
      <c r="I51" s="157"/>
      <c r="J51" s="157"/>
      <c r="K51" s="158"/>
      <c r="L51" s="274"/>
      <c r="M51" s="275"/>
      <c r="N51" s="276"/>
      <c r="O51" s="270"/>
      <c r="P51" s="271"/>
      <c r="Q51" s="271"/>
      <c r="R51" s="271"/>
      <c r="S51" s="272"/>
      <c r="T51" s="270"/>
      <c r="U51" s="271"/>
      <c r="V51" s="271"/>
      <c r="W51" s="271"/>
      <c r="X51" s="272"/>
      <c r="Y51" s="270"/>
      <c r="Z51" s="271"/>
      <c r="AA51" s="271"/>
      <c r="AB51" s="271"/>
      <c r="AC51" s="272"/>
      <c r="AD51" s="270"/>
      <c r="AE51" s="271"/>
      <c r="AF51" s="271"/>
      <c r="AG51" s="271"/>
      <c r="AH51" s="272"/>
      <c r="AI51" s="270" t="str">
        <f t="shared" si="0"/>
        <v/>
      </c>
      <c r="AJ51" s="271"/>
      <c r="AK51" s="271"/>
      <c r="AL51" s="271"/>
      <c r="AM51" s="271"/>
      <c r="AN51" s="271"/>
      <c r="AO51" s="273"/>
      <c r="AP51" s="108"/>
      <c r="AQ51" s="155" t="str">
        <f>IFERROR(VLOOKUP(L51,[3]Page2!$AP$7:$AR$115,3,0),"")</f>
        <v/>
      </c>
    </row>
    <row r="52" spans="1:43" s="110" customFormat="1" ht="15" customHeight="1">
      <c r="A52" s="156"/>
      <c r="B52" s="157"/>
      <c r="C52" s="157"/>
      <c r="D52" s="157"/>
      <c r="E52" s="157"/>
      <c r="F52" s="157"/>
      <c r="G52" s="157"/>
      <c r="H52" s="157"/>
      <c r="I52" s="157"/>
      <c r="J52" s="157"/>
      <c r="K52" s="158"/>
      <c r="L52" s="274"/>
      <c r="M52" s="275"/>
      <c r="N52" s="276"/>
      <c r="O52" s="270"/>
      <c r="P52" s="271"/>
      <c r="Q52" s="271"/>
      <c r="R52" s="271"/>
      <c r="S52" s="272"/>
      <c r="T52" s="270"/>
      <c r="U52" s="271"/>
      <c r="V52" s="271"/>
      <c r="W52" s="271"/>
      <c r="X52" s="272"/>
      <c r="Y52" s="270"/>
      <c r="Z52" s="271"/>
      <c r="AA52" s="271"/>
      <c r="AB52" s="271"/>
      <c r="AC52" s="272"/>
      <c r="AD52" s="270"/>
      <c r="AE52" s="271"/>
      <c r="AF52" s="271"/>
      <c r="AG52" s="271"/>
      <c r="AH52" s="272"/>
      <c r="AI52" s="270" t="str">
        <f t="shared" si="0"/>
        <v/>
      </c>
      <c r="AJ52" s="271"/>
      <c r="AK52" s="271"/>
      <c r="AL52" s="271"/>
      <c r="AM52" s="271"/>
      <c r="AN52" s="271"/>
      <c r="AO52" s="273"/>
      <c r="AP52" s="108"/>
      <c r="AQ52" s="155" t="str">
        <f>IFERROR(VLOOKUP(L52,[3]Page2!$AP$7:$AR$115,3,0),"")</f>
        <v/>
      </c>
    </row>
    <row r="53" spans="1:43" s="110" customFormat="1" ht="15" customHeight="1">
      <c r="A53" s="156"/>
      <c r="B53" s="157"/>
      <c r="C53" s="157"/>
      <c r="D53" s="157"/>
      <c r="E53" s="157"/>
      <c r="F53" s="157"/>
      <c r="G53" s="157"/>
      <c r="H53" s="157"/>
      <c r="I53" s="157"/>
      <c r="J53" s="157"/>
      <c r="K53" s="158"/>
      <c r="L53" s="274"/>
      <c r="M53" s="275"/>
      <c r="N53" s="276"/>
      <c r="O53" s="270"/>
      <c r="P53" s="271"/>
      <c r="Q53" s="271"/>
      <c r="R53" s="271"/>
      <c r="S53" s="272"/>
      <c r="T53" s="270"/>
      <c r="U53" s="271"/>
      <c r="V53" s="271"/>
      <c r="W53" s="271"/>
      <c r="X53" s="272"/>
      <c r="Y53" s="270"/>
      <c r="Z53" s="271"/>
      <c r="AA53" s="271"/>
      <c r="AB53" s="271"/>
      <c r="AC53" s="272"/>
      <c r="AD53" s="270"/>
      <c r="AE53" s="271"/>
      <c r="AF53" s="271"/>
      <c r="AG53" s="271"/>
      <c r="AH53" s="272"/>
      <c r="AI53" s="270" t="str">
        <f t="shared" si="0"/>
        <v/>
      </c>
      <c r="AJ53" s="271"/>
      <c r="AK53" s="271"/>
      <c r="AL53" s="271"/>
      <c r="AM53" s="271"/>
      <c r="AN53" s="271"/>
      <c r="AO53" s="273"/>
      <c r="AP53" s="108"/>
      <c r="AQ53" s="155" t="str">
        <f>IFERROR(VLOOKUP(L53,[3]Page2!$AP$7:$AR$115,3,0),"")</f>
        <v/>
      </c>
    </row>
    <row r="54" spans="1:43" s="110" customFormat="1" ht="15" customHeight="1">
      <c r="A54" s="156"/>
      <c r="B54" s="157"/>
      <c r="C54" s="157"/>
      <c r="D54" s="159"/>
      <c r="E54" s="159"/>
      <c r="F54" s="157"/>
      <c r="G54" s="157"/>
      <c r="H54" s="157"/>
      <c r="I54" s="157"/>
      <c r="J54" s="157"/>
      <c r="K54" s="158"/>
      <c r="L54" s="274"/>
      <c r="M54" s="275"/>
      <c r="N54" s="276"/>
      <c r="O54" s="270"/>
      <c r="P54" s="271"/>
      <c r="Q54" s="271"/>
      <c r="R54" s="271"/>
      <c r="S54" s="272"/>
      <c r="T54" s="270"/>
      <c r="U54" s="271"/>
      <c r="V54" s="271"/>
      <c r="W54" s="271"/>
      <c r="X54" s="272"/>
      <c r="Y54" s="270"/>
      <c r="Z54" s="271"/>
      <c r="AA54" s="271"/>
      <c r="AB54" s="271"/>
      <c r="AC54" s="272"/>
      <c r="AD54" s="270"/>
      <c r="AE54" s="271"/>
      <c r="AF54" s="271"/>
      <c r="AG54" s="271"/>
      <c r="AH54" s="272"/>
      <c r="AI54" s="270" t="str">
        <f t="shared" si="0"/>
        <v/>
      </c>
      <c r="AJ54" s="271"/>
      <c r="AK54" s="271"/>
      <c r="AL54" s="271"/>
      <c r="AM54" s="271"/>
      <c r="AN54" s="271"/>
      <c r="AO54" s="273"/>
      <c r="AP54" s="108"/>
      <c r="AQ54" s="155" t="str">
        <f>IFERROR(VLOOKUP(L54,[3]Page2!$AP$7:$AR$115,3,0),"")</f>
        <v/>
      </c>
    </row>
    <row r="55" spans="1:43" s="110" customFormat="1" ht="15" customHeight="1">
      <c r="A55" s="156"/>
      <c r="B55" s="157"/>
      <c r="C55" s="157"/>
      <c r="D55" s="159"/>
      <c r="E55" s="159"/>
      <c r="F55" s="157"/>
      <c r="G55" s="157"/>
      <c r="H55" s="157"/>
      <c r="I55" s="157"/>
      <c r="J55" s="157"/>
      <c r="K55" s="158"/>
      <c r="L55" s="274"/>
      <c r="M55" s="275"/>
      <c r="N55" s="276"/>
      <c r="O55" s="270"/>
      <c r="P55" s="271"/>
      <c r="Q55" s="271"/>
      <c r="R55" s="271"/>
      <c r="S55" s="272"/>
      <c r="T55" s="270"/>
      <c r="U55" s="271"/>
      <c r="V55" s="271"/>
      <c r="W55" s="271"/>
      <c r="X55" s="272"/>
      <c r="Y55" s="270"/>
      <c r="Z55" s="271"/>
      <c r="AA55" s="271"/>
      <c r="AB55" s="271"/>
      <c r="AC55" s="272"/>
      <c r="AD55" s="270"/>
      <c r="AE55" s="271"/>
      <c r="AF55" s="271"/>
      <c r="AG55" s="271"/>
      <c r="AH55" s="272"/>
      <c r="AI55" s="270"/>
      <c r="AJ55" s="271"/>
      <c r="AK55" s="271"/>
      <c r="AL55" s="271"/>
      <c r="AM55" s="271"/>
      <c r="AN55" s="271"/>
      <c r="AO55" s="273"/>
      <c r="AP55" s="108"/>
      <c r="AQ55" s="155"/>
    </row>
    <row r="56" spans="1:43" s="110" customFormat="1" ht="15" customHeight="1">
      <c r="A56" s="156"/>
      <c r="B56" s="157"/>
      <c r="C56" s="157"/>
      <c r="D56" s="157"/>
      <c r="E56" s="157"/>
      <c r="F56" s="157"/>
      <c r="G56" s="157"/>
      <c r="H56" s="157"/>
      <c r="I56" s="157"/>
      <c r="J56" s="157"/>
      <c r="K56" s="158"/>
      <c r="L56" s="274"/>
      <c r="M56" s="275"/>
      <c r="N56" s="276"/>
      <c r="O56" s="270"/>
      <c r="P56" s="271"/>
      <c r="Q56" s="271"/>
      <c r="R56" s="271"/>
      <c r="S56" s="272"/>
      <c r="T56" s="270"/>
      <c r="U56" s="271"/>
      <c r="V56" s="271"/>
      <c r="W56" s="271"/>
      <c r="X56" s="272"/>
      <c r="Y56" s="270"/>
      <c r="Z56" s="271"/>
      <c r="AA56" s="271"/>
      <c r="AB56" s="271"/>
      <c r="AC56" s="272"/>
      <c r="AD56" s="270"/>
      <c r="AE56" s="271"/>
      <c r="AF56" s="271"/>
      <c r="AG56" s="271"/>
      <c r="AH56" s="272"/>
      <c r="AI56" s="270"/>
      <c r="AJ56" s="271"/>
      <c r="AK56" s="271"/>
      <c r="AL56" s="271"/>
      <c r="AM56" s="271"/>
      <c r="AN56" s="271"/>
      <c r="AO56" s="273"/>
      <c r="AP56" s="108"/>
      <c r="AQ56" s="155"/>
    </row>
    <row r="57" spans="1:43" s="110" customFormat="1" ht="15" customHeight="1">
      <c r="A57" s="156"/>
      <c r="B57" s="159"/>
      <c r="C57" s="159"/>
      <c r="D57" s="159"/>
      <c r="E57" s="159"/>
      <c r="F57" s="159"/>
      <c r="G57" s="159"/>
      <c r="H57" s="159"/>
      <c r="I57" s="159"/>
      <c r="J57" s="159"/>
      <c r="K57" s="160"/>
      <c r="L57" s="274"/>
      <c r="M57" s="275"/>
      <c r="N57" s="276"/>
      <c r="O57" s="270"/>
      <c r="P57" s="271"/>
      <c r="Q57" s="271"/>
      <c r="R57" s="271"/>
      <c r="S57" s="272"/>
      <c r="T57" s="270"/>
      <c r="U57" s="271"/>
      <c r="V57" s="271"/>
      <c r="W57" s="271"/>
      <c r="X57" s="272"/>
      <c r="Y57" s="270"/>
      <c r="Z57" s="271"/>
      <c r="AA57" s="271"/>
      <c r="AB57" s="271"/>
      <c r="AC57" s="272"/>
      <c r="AD57" s="270"/>
      <c r="AE57" s="271"/>
      <c r="AF57" s="271"/>
      <c r="AG57" s="271"/>
      <c r="AH57" s="272"/>
      <c r="AI57" s="270" t="str">
        <f t="shared" si="0"/>
        <v/>
      </c>
      <c r="AJ57" s="271"/>
      <c r="AK57" s="271"/>
      <c r="AL57" s="271"/>
      <c r="AM57" s="271"/>
      <c r="AN57" s="271"/>
      <c r="AO57" s="273"/>
      <c r="AP57" s="108"/>
      <c r="AQ57" s="155" t="str">
        <f>IFERROR(VLOOKUP(L57,[3]Page2!$AP$7:$AR$115,3,0),"")</f>
        <v/>
      </c>
    </row>
    <row r="58" spans="1:43" s="110" customFormat="1" ht="15" customHeight="1">
      <c r="A58" s="156"/>
      <c r="B58" s="159"/>
      <c r="C58" s="159"/>
      <c r="D58" s="159"/>
      <c r="E58" s="159"/>
      <c r="F58" s="159"/>
      <c r="G58" s="159"/>
      <c r="H58" s="159"/>
      <c r="I58" s="159"/>
      <c r="J58" s="159"/>
      <c r="K58" s="160"/>
      <c r="L58" s="274"/>
      <c r="M58" s="275"/>
      <c r="N58" s="276"/>
      <c r="O58" s="270"/>
      <c r="P58" s="271"/>
      <c r="Q58" s="271"/>
      <c r="R58" s="271"/>
      <c r="S58" s="272"/>
      <c r="T58" s="270"/>
      <c r="U58" s="271"/>
      <c r="V58" s="271"/>
      <c r="W58" s="271"/>
      <c r="X58" s="272"/>
      <c r="Y58" s="270"/>
      <c r="Z58" s="271"/>
      <c r="AA58" s="271"/>
      <c r="AB58" s="271"/>
      <c r="AC58" s="272"/>
      <c r="AD58" s="270"/>
      <c r="AE58" s="271"/>
      <c r="AF58" s="271"/>
      <c r="AG58" s="271"/>
      <c r="AH58" s="272"/>
      <c r="AI58" s="270" t="str">
        <f t="shared" si="0"/>
        <v/>
      </c>
      <c r="AJ58" s="271"/>
      <c r="AK58" s="271"/>
      <c r="AL58" s="271"/>
      <c r="AM58" s="271"/>
      <c r="AN58" s="271"/>
      <c r="AO58" s="273"/>
      <c r="AP58" s="108"/>
      <c r="AQ58" s="155" t="str">
        <f>IFERROR(VLOOKUP(L58,[3]Page2!$AP$7:$AR$115,3,0),"")</f>
        <v/>
      </c>
    </row>
    <row r="59" spans="1:43" s="110" customFormat="1" ht="15" customHeight="1">
      <c r="A59" s="288" t="s">
        <v>33</v>
      </c>
      <c r="B59" s="289"/>
      <c r="C59" s="289"/>
      <c r="D59" s="289"/>
      <c r="E59" s="289"/>
      <c r="F59" s="289"/>
      <c r="G59" s="289"/>
      <c r="H59" s="289"/>
      <c r="I59" s="289"/>
      <c r="J59" s="289"/>
      <c r="K59" s="290"/>
      <c r="L59" s="284"/>
      <c r="M59" s="285"/>
      <c r="N59" s="286"/>
      <c r="O59" s="277">
        <f>SUM(O47:S58)</f>
        <v>474428.57</v>
      </c>
      <c r="P59" s="278"/>
      <c r="Q59" s="278"/>
      <c r="R59" s="278"/>
      <c r="S59" s="291"/>
      <c r="T59" s="277">
        <f t="shared" ref="T59" si="1">SUM(T47:X58)</f>
        <v>0</v>
      </c>
      <c r="U59" s="278"/>
      <c r="V59" s="278"/>
      <c r="W59" s="278"/>
      <c r="X59" s="291"/>
      <c r="Y59" s="277">
        <f t="shared" ref="Y59" si="2">SUM(Y47:AC58)</f>
        <v>0</v>
      </c>
      <c r="Z59" s="278"/>
      <c r="AA59" s="278"/>
      <c r="AB59" s="278"/>
      <c r="AC59" s="291"/>
      <c r="AD59" s="277">
        <f t="shared" ref="AD59" si="3">SUM(AD47:AH58)</f>
        <v>474428.57</v>
      </c>
      <c r="AE59" s="278"/>
      <c r="AF59" s="278"/>
      <c r="AG59" s="278"/>
      <c r="AH59" s="291"/>
      <c r="AI59" s="277">
        <f>SUM(AI47:AO58)</f>
        <v>4744.29</v>
      </c>
      <c r="AJ59" s="278"/>
      <c r="AK59" s="278"/>
      <c r="AL59" s="278"/>
      <c r="AM59" s="278"/>
      <c r="AN59" s="278"/>
      <c r="AO59" s="279"/>
      <c r="AP59" s="108"/>
      <c r="AQ59" s="161"/>
    </row>
    <row r="60" spans="1:43" s="110" customFormat="1" ht="10.5" customHeight="1">
      <c r="A60" s="280" t="s">
        <v>36</v>
      </c>
      <c r="B60" s="256"/>
      <c r="C60" s="256"/>
      <c r="D60" s="256"/>
      <c r="E60" s="256"/>
      <c r="F60" s="256"/>
      <c r="G60" s="256"/>
      <c r="H60" s="256"/>
      <c r="I60" s="256"/>
      <c r="J60" s="256"/>
      <c r="K60" s="257"/>
      <c r="L60" s="137"/>
      <c r="M60" s="138"/>
      <c r="N60" s="139"/>
      <c r="O60" s="137"/>
      <c r="P60" s="138"/>
      <c r="Q60" s="138"/>
      <c r="R60" s="138"/>
      <c r="S60" s="139"/>
      <c r="T60" s="137"/>
      <c r="U60" s="138"/>
      <c r="V60" s="138"/>
      <c r="W60" s="138"/>
      <c r="X60" s="139"/>
      <c r="Y60" s="137"/>
      <c r="Z60" s="138"/>
      <c r="AA60" s="138"/>
      <c r="AB60" s="138"/>
      <c r="AC60" s="139"/>
      <c r="AD60" s="137"/>
      <c r="AE60" s="138"/>
      <c r="AF60" s="138"/>
      <c r="AG60" s="138"/>
      <c r="AH60" s="139"/>
      <c r="AI60" s="137"/>
      <c r="AJ60" s="138"/>
      <c r="AK60" s="138"/>
      <c r="AL60" s="138"/>
      <c r="AM60" s="138"/>
      <c r="AN60" s="138"/>
      <c r="AO60" s="162"/>
      <c r="AP60" s="108"/>
      <c r="AQ60" s="109"/>
    </row>
    <row r="61" spans="1:43" s="110" customFormat="1" ht="10.5" customHeight="1">
      <c r="A61" s="243"/>
      <c r="B61" s="244"/>
      <c r="C61" s="244"/>
      <c r="D61" s="244"/>
      <c r="E61" s="244"/>
      <c r="F61" s="244"/>
      <c r="G61" s="244"/>
      <c r="H61" s="244"/>
      <c r="I61" s="244"/>
      <c r="J61" s="244"/>
      <c r="K61" s="245"/>
      <c r="L61" s="163"/>
      <c r="M61" s="151"/>
      <c r="N61" s="164"/>
      <c r="O61" s="163"/>
      <c r="P61" s="151"/>
      <c r="Q61" s="151"/>
      <c r="R61" s="151"/>
      <c r="S61" s="164"/>
      <c r="T61" s="163"/>
      <c r="U61" s="151"/>
      <c r="V61" s="151"/>
      <c r="W61" s="151"/>
      <c r="X61" s="164"/>
      <c r="Y61" s="163"/>
      <c r="Z61" s="151"/>
      <c r="AA61" s="151"/>
      <c r="AB61" s="151"/>
      <c r="AC61" s="164"/>
      <c r="AD61" s="163"/>
      <c r="AE61" s="151"/>
      <c r="AF61" s="151"/>
      <c r="AG61" s="151"/>
      <c r="AH61" s="164"/>
      <c r="AI61" s="163"/>
      <c r="AJ61" s="151"/>
      <c r="AK61" s="151"/>
      <c r="AL61" s="151"/>
      <c r="AM61" s="151"/>
      <c r="AN61" s="151"/>
      <c r="AO61" s="152"/>
      <c r="AP61" s="108"/>
      <c r="AQ61" s="109"/>
    </row>
    <row r="62" spans="1:43" s="110" customFormat="1" ht="15" customHeight="1">
      <c r="A62" s="281"/>
      <c r="B62" s="282"/>
      <c r="C62" s="282"/>
      <c r="D62" s="282"/>
      <c r="E62" s="282"/>
      <c r="F62" s="282"/>
      <c r="G62" s="282"/>
      <c r="H62" s="282"/>
      <c r="I62" s="282"/>
      <c r="J62" s="282"/>
      <c r="K62" s="283"/>
      <c r="L62" s="284"/>
      <c r="M62" s="285"/>
      <c r="N62" s="286"/>
      <c r="O62" s="284"/>
      <c r="P62" s="285"/>
      <c r="Q62" s="285"/>
      <c r="R62" s="285"/>
      <c r="S62" s="286"/>
      <c r="T62" s="284"/>
      <c r="U62" s="285"/>
      <c r="V62" s="285"/>
      <c r="W62" s="285"/>
      <c r="X62" s="286"/>
      <c r="Y62" s="284"/>
      <c r="Z62" s="285"/>
      <c r="AA62" s="285"/>
      <c r="AB62" s="285"/>
      <c r="AC62" s="286"/>
      <c r="AD62" s="284"/>
      <c r="AE62" s="285"/>
      <c r="AF62" s="285"/>
      <c r="AG62" s="285"/>
      <c r="AH62" s="286"/>
      <c r="AI62" s="284"/>
      <c r="AJ62" s="285"/>
      <c r="AK62" s="285"/>
      <c r="AL62" s="285"/>
      <c r="AM62" s="285"/>
      <c r="AN62" s="285"/>
      <c r="AO62" s="287"/>
      <c r="AP62" s="108"/>
      <c r="AQ62" s="109"/>
    </row>
    <row r="63" spans="1:43" s="110" customFormat="1" ht="15" customHeight="1">
      <c r="A63" s="281"/>
      <c r="B63" s="282"/>
      <c r="C63" s="282"/>
      <c r="D63" s="282"/>
      <c r="E63" s="282"/>
      <c r="F63" s="282"/>
      <c r="G63" s="282"/>
      <c r="H63" s="282"/>
      <c r="I63" s="282"/>
      <c r="J63" s="282"/>
      <c r="K63" s="283"/>
      <c r="L63" s="284"/>
      <c r="M63" s="285"/>
      <c r="N63" s="286"/>
      <c r="O63" s="284"/>
      <c r="P63" s="285"/>
      <c r="Q63" s="285"/>
      <c r="R63" s="285"/>
      <c r="S63" s="286"/>
      <c r="T63" s="284"/>
      <c r="U63" s="285"/>
      <c r="V63" s="285"/>
      <c r="W63" s="285"/>
      <c r="X63" s="286"/>
      <c r="Y63" s="284"/>
      <c r="Z63" s="285"/>
      <c r="AA63" s="285"/>
      <c r="AB63" s="285"/>
      <c r="AC63" s="286"/>
      <c r="AD63" s="284"/>
      <c r="AE63" s="285"/>
      <c r="AF63" s="285"/>
      <c r="AG63" s="285"/>
      <c r="AH63" s="286"/>
      <c r="AI63" s="284"/>
      <c r="AJ63" s="285"/>
      <c r="AK63" s="285"/>
      <c r="AL63" s="285"/>
      <c r="AM63" s="285"/>
      <c r="AN63" s="285"/>
      <c r="AO63" s="287"/>
      <c r="AP63" s="108"/>
      <c r="AQ63" s="109"/>
    </row>
    <row r="64" spans="1:43" s="110" customFormat="1" ht="15" customHeight="1">
      <c r="A64" s="281"/>
      <c r="B64" s="282"/>
      <c r="C64" s="282"/>
      <c r="D64" s="282"/>
      <c r="E64" s="282"/>
      <c r="F64" s="282"/>
      <c r="G64" s="282"/>
      <c r="H64" s="282"/>
      <c r="I64" s="282"/>
      <c r="J64" s="282"/>
      <c r="K64" s="283"/>
      <c r="L64" s="284"/>
      <c r="M64" s="285"/>
      <c r="N64" s="286"/>
      <c r="O64" s="284"/>
      <c r="P64" s="285"/>
      <c r="Q64" s="285"/>
      <c r="R64" s="285"/>
      <c r="S64" s="286"/>
      <c r="T64" s="284"/>
      <c r="U64" s="285"/>
      <c r="V64" s="285"/>
      <c r="W64" s="285"/>
      <c r="X64" s="286"/>
      <c r="Y64" s="284"/>
      <c r="Z64" s="285"/>
      <c r="AA64" s="285"/>
      <c r="AB64" s="285"/>
      <c r="AC64" s="286"/>
      <c r="AD64" s="284"/>
      <c r="AE64" s="285"/>
      <c r="AF64" s="285"/>
      <c r="AG64" s="285"/>
      <c r="AH64" s="286"/>
      <c r="AI64" s="284"/>
      <c r="AJ64" s="285"/>
      <c r="AK64" s="285"/>
      <c r="AL64" s="285"/>
      <c r="AM64" s="285"/>
      <c r="AN64" s="285"/>
      <c r="AO64" s="287"/>
      <c r="AP64" s="108"/>
      <c r="AQ64" s="109"/>
    </row>
    <row r="65" spans="1:43" s="110" customFormat="1" ht="15" customHeight="1">
      <c r="A65" s="288" t="s">
        <v>33</v>
      </c>
      <c r="B65" s="289"/>
      <c r="C65" s="289"/>
      <c r="D65" s="289"/>
      <c r="E65" s="289"/>
      <c r="F65" s="289"/>
      <c r="G65" s="289"/>
      <c r="H65" s="289"/>
      <c r="I65" s="289"/>
      <c r="J65" s="289"/>
      <c r="K65" s="290"/>
      <c r="L65" s="284"/>
      <c r="M65" s="285"/>
      <c r="N65" s="286"/>
      <c r="O65" s="284"/>
      <c r="P65" s="285"/>
      <c r="Q65" s="285"/>
      <c r="R65" s="285"/>
      <c r="S65" s="286"/>
      <c r="T65" s="284"/>
      <c r="U65" s="285"/>
      <c r="V65" s="285"/>
      <c r="W65" s="285"/>
      <c r="X65" s="286"/>
      <c r="Y65" s="284"/>
      <c r="Z65" s="285"/>
      <c r="AA65" s="285"/>
      <c r="AB65" s="285"/>
      <c r="AC65" s="286"/>
      <c r="AD65" s="284"/>
      <c r="AE65" s="285"/>
      <c r="AF65" s="285"/>
      <c r="AG65" s="285"/>
      <c r="AH65" s="286"/>
      <c r="AI65" s="284"/>
      <c r="AJ65" s="285"/>
      <c r="AK65" s="285"/>
      <c r="AL65" s="285"/>
      <c r="AM65" s="285"/>
      <c r="AN65" s="285"/>
      <c r="AO65" s="287"/>
      <c r="AP65" s="108"/>
      <c r="AQ65" s="109"/>
    </row>
    <row r="66" spans="1:43" s="110" customFormat="1" ht="40.5" customHeight="1">
      <c r="A66" s="292" t="s">
        <v>37</v>
      </c>
      <c r="B66" s="293"/>
      <c r="C66" s="293"/>
      <c r="D66" s="293"/>
      <c r="E66" s="293"/>
      <c r="F66" s="293"/>
      <c r="G66" s="293"/>
      <c r="H66" s="293"/>
      <c r="I66" s="293"/>
      <c r="J66" s="293"/>
      <c r="K66" s="293"/>
      <c r="L66" s="293"/>
      <c r="M66" s="293"/>
      <c r="N66" s="293"/>
      <c r="O66" s="293"/>
      <c r="P66" s="293"/>
      <c r="Q66" s="293"/>
      <c r="R66" s="293"/>
      <c r="S66" s="293"/>
      <c r="T66" s="293"/>
      <c r="U66" s="293"/>
      <c r="V66" s="293"/>
      <c r="W66" s="293"/>
      <c r="X66" s="293"/>
      <c r="Y66" s="293"/>
      <c r="Z66" s="293"/>
      <c r="AA66" s="293"/>
      <c r="AB66" s="293"/>
      <c r="AC66" s="293"/>
      <c r="AD66" s="293"/>
      <c r="AE66" s="293"/>
      <c r="AF66" s="293"/>
      <c r="AG66" s="293"/>
      <c r="AH66" s="293"/>
      <c r="AI66" s="293"/>
      <c r="AJ66" s="293"/>
      <c r="AK66" s="293"/>
      <c r="AL66" s="293"/>
      <c r="AM66" s="293"/>
      <c r="AN66" s="293"/>
      <c r="AO66" s="294"/>
      <c r="AP66" s="108"/>
      <c r="AQ66" s="109"/>
    </row>
    <row r="67" spans="1:43" s="110" customFormat="1" ht="10.5" customHeight="1">
      <c r="A67" s="295" t="s">
        <v>38</v>
      </c>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7"/>
      <c r="AP67" s="108"/>
      <c r="AQ67" s="109"/>
    </row>
    <row r="68" spans="1:43" s="110" customFormat="1" ht="10.5" customHeight="1">
      <c r="A68" s="298"/>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300"/>
      <c r="AP68" s="108"/>
      <c r="AQ68" s="109"/>
    </row>
    <row r="69" spans="1:43" s="110" customFormat="1" ht="10.5" customHeight="1">
      <c r="A69" s="301"/>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3"/>
      <c r="AP69" s="108"/>
      <c r="AQ69" s="109"/>
    </row>
    <row r="70" spans="1:43" s="110" customFormat="1" ht="10.5" customHeight="1">
      <c r="A70" s="304" t="s">
        <v>39</v>
      </c>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c r="AD70" s="305"/>
      <c r="AE70" s="305"/>
      <c r="AF70" s="305"/>
      <c r="AG70" s="305"/>
      <c r="AH70" s="305"/>
      <c r="AI70" s="305"/>
      <c r="AJ70" s="305"/>
      <c r="AK70" s="305"/>
      <c r="AL70" s="305"/>
      <c r="AM70" s="305"/>
      <c r="AN70" s="305"/>
      <c r="AO70" s="306"/>
      <c r="AP70" s="108"/>
      <c r="AQ70" s="109"/>
    </row>
    <row r="71" spans="1:43" s="110" customFormat="1" ht="10.5" customHeight="1">
      <c r="A71" s="307" t="s">
        <v>40</v>
      </c>
      <c r="B71" s="308"/>
      <c r="C71" s="308"/>
      <c r="D71" s="308"/>
      <c r="E71" s="308"/>
      <c r="F71" s="308"/>
      <c r="G71" s="308"/>
      <c r="H71" s="308"/>
      <c r="I71" s="308"/>
      <c r="J71" s="308"/>
      <c r="K71" s="308"/>
      <c r="L71" s="308"/>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9"/>
      <c r="AP71" s="108"/>
      <c r="AQ71" s="109"/>
    </row>
    <row r="72" spans="1:43" s="110" customFormat="1" ht="11.25" customHeight="1">
      <c r="A72" s="310" t="s">
        <v>41</v>
      </c>
      <c r="B72" s="311"/>
      <c r="C72" s="311"/>
      <c r="D72" s="311"/>
      <c r="E72" s="311"/>
      <c r="F72" s="311"/>
      <c r="G72" s="311"/>
      <c r="H72" s="311"/>
      <c r="I72" s="138"/>
      <c r="J72" s="138"/>
      <c r="K72" s="138"/>
      <c r="L72" s="138"/>
      <c r="M72" s="138"/>
      <c r="N72" s="138"/>
      <c r="O72" s="138"/>
      <c r="P72" s="138"/>
      <c r="Q72" s="165"/>
      <c r="R72" s="312" t="s">
        <v>42</v>
      </c>
      <c r="S72" s="312"/>
      <c r="T72" s="312"/>
      <c r="U72" s="312"/>
      <c r="V72" s="138"/>
      <c r="W72" s="138"/>
      <c r="X72" s="138"/>
      <c r="Y72" s="138"/>
      <c r="Z72" s="138"/>
      <c r="AA72" s="138"/>
      <c r="AB72" s="138"/>
      <c r="AC72" s="314" t="s">
        <v>43</v>
      </c>
      <c r="AD72" s="314"/>
      <c r="AE72" s="314"/>
      <c r="AF72" s="314"/>
      <c r="AG72" s="314"/>
      <c r="AH72" s="138"/>
      <c r="AI72" s="138"/>
      <c r="AJ72" s="138"/>
      <c r="AK72" s="138"/>
      <c r="AL72" s="138"/>
      <c r="AM72" s="138"/>
      <c r="AN72" s="138"/>
      <c r="AO72" s="162"/>
      <c r="AP72" s="108"/>
      <c r="AQ72" s="109"/>
    </row>
    <row r="73" spans="1:43" s="110" customFormat="1" ht="11.25" customHeight="1" thickBot="1">
      <c r="A73" s="315" t="s">
        <v>44</v>
      </c>
      <c r="B73" s="316"/>
      <c r="C73" s="316"/>
      <c r="D73" s="316"/>
      <c r="E73" s="316"/>
      <c r="F73" s="316"/>
      <c r="G73" s="316"/>
      <c r="H73" s="316"/>
      <c r="I73" s="108"/>
      <c r="J73" s="108"/>
      <c r="K73" s="108"/>
      <c r="L73" s="108"/>
      <c r="M73" s="108"/>
      <c r="N73" s="108"/>
      <c r="O73" s="108"/>
      <c r="P73" s="108"/>
      <c r="Q73" s="108"/>
      <c r="R73" s="313"/>
      <c r="S73" s="313"/>
      <c r="T73" s="313"/>
      <c r="U73" s="313"/>
      <c r="V73" s="108"/>
      <c r="W73" s="108"/>
      <c r="X73" s="108"/>
      <c r="Y73" s="108"/>
      <c r="Z73" s="108"/>
      <c r="AA73" s="108"/>
      <c r="AB73" s="108"/>
      <c r="AC73" s="317" t="s">
        <v>7</v>
      </c>
      <c r="AD73" s="317"/>
      <c r="AE73" s="317"/>
      <c r="AF73" s="317"/>
      <c r="AG73" s="317"/>
      <c r="AH73" s="108"/>
      <c r="AI73" s="108"/>
      <c r="AJ73" s="108"/>
      <c r="AK73" s="108"/>
      <c r="AL73" s="108"/>
      <c r="AM73" s="108"/>
      <c r="AN73" s="108"/>
      <c r="AO73" s="132"/>
      <c r="AP73" s="108"/>
      <c r="AQ73" s="109"/>
    </row>
    <row r="74" spans="1:43" s="110" customFormat="1" ht="10.5" customHeight="1" thickBot="1">
      <c r="A74" s="209" t="s">
        <v>45</v>
      </c>
      <c r="B74" s="210"/>
      <c r="C74" s="210"/>
      <c r="D74" s="210"/>
      <c r="E74" s="210"/>
      <c r="F74" s="210"/>
      <c r="G74" s="210"/>
      <c r="H74" s="210"/>
      <c r="I74" s="210"/>
      <c r="J74" s="210"/>
      <c r="K74" s="210"/>
      <c r="L74" s="210"/>
      <c r="M74" s="210"/>
      <c r="N74" s="210"/>
      <c r="O74" s="210"/>
      <c r="P74" s="210"/>
      <c r="Q74" s="210"/>
      <c r="R74" s="210"/>
      <c r="S74" s="210"/>
      <c r="T74" s="210"/>
      <c r="U74" s="210"/>
      <c r="V74" s="210"/>
      <c r="W74" s="210"/>
      <c r="X74" s="210"/>
      <c r="Y74" s="210"/>
      <c r="Z74" s="210"/>
      <c r="AA74" s="210"/>
      <c r="AB74" s="210"/>
      <c r="AC74" s="210"/>
      <c r="AD74" s="210"/>
      <c r="AE74" s="210"/>
      <c r="AF74" s="210"/>
      <c r="AG74" s="210"/>
      <c r="AH74" s="210"/>
      <c r="AI74" s="210"/>
      <c r="AJ74" s="210"/>
      <c r="AK74" s="210"/>
      <c r="AL74" s="210"/>
      <c r="AM74" s="210"/>
      <c r="AN74" s="210"/>
      <c r="AO74" s="211"/>
      <c r="AP74" s="108"/>
      <c r="AQ74" s="109"/>
    </row>
    <row r="75" spans="1:43" s="110" customFormat="1" ht="10.5" customHeight="1">
      <c r="A75" s="304"/>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c r="AD75" s="305"/>
      <c r="AE75" s="305"/>
      <c r="AF75" s="305"/>
      <c r="AG75" s="305"/>
      <c r="AH75" s="305"/>
      <c r="AI75" s="305"/>
      <c r="AJ75" s="305"/>
      <c r="AK75" s="305"/>
      <c r="AL75" s="305"/>
      <c r="AM75" s="305"/>
      <c r="AN75" s="305"/>
      <c r="AO75" s="306"/>
      <c r="AP75" s="108"/>
      <c r="AQ75" s="109"/>
    </row>
    <row r="76" spans="1:43" s="110" customFormat="1" ht="10.5" customHeight="1">
      <c r="A76" s="318"/>
      <c r="B76" s="319"/>
      <c r="C76" s="319"/>
      <c r="D76" s="319"/>
      <c r="E76" s="319"/>
      <c r="F76" s="319"/>
      <c r="G76" s="319"/>
      <c r="H76" s="319"/>
      <c r="I76" s="319"/>
      <c r="J76" s="319"/>
      <c r="K76" s="319"/>
      <c r="L76" s="319"/>
      <c r="M76" s="319"/>
      <c r="N76" s="319"/>
      <c r="O76" s="319"/>
      <c r="P76" s="319"/>
      <c r="Q76" s="319"/>
      <c r="R76" s="319"/>
      <c r="S76" s="319"/>
      <c r="T76" s="319"/>
      <c r="U76" s="319"/>
      <c r="V76" s="319"/>
      <c r="W76" s="319"/>
      <c r="X76" s="319"/>
      <c r="Y76" s="319"/>
      <c r="Z76" s="319"/>
      <c r="AA76" s="319"/>
      <c r="AB76" s="319"/>
      <c r="AC76" s="319"/>
      <c r="AD76" s="319"/>
      <c r="AE76" s="319"/>
      <c r="AF76" s="319"/>
      <c r="AG76" s="319"/>
      <c r="AH76" s="319"/>
      <c r="AI76" s="319"/>
      <c r="AJ76" s="319"/>
      <c r="AK76" s="319"/>
      <c r="AL76" s="319"/>
      <c r="AM76" s="319"/>
      <c r="AN76" s="319"/>
      <c r="AO76" s="320"/>
      <c r="AP76" s="108"/>
      <c r="AQ76" s="109"/>
    </row>
    <row r="77" spans="1:43" s="110" customFormat="1" ht="10.5" customHeight="1">
      <c r="A77" s="321"/>
      <c r="B77" s="322"/>
      <c r="C77" s="322"/>
      <c r="D77" s="322"/>
      <c r="E77" s="322"/>
      <c r="F77" s="322"/>
      <c r="G77" s="322"/>
      <c r="H77" s="322"/>
      <c r="I77" s="322"/>
      <c r="J77" s="322"/>
      <c r="K77" s="322"/>
      <c r="L77" s="322"/>
      <c r="M77" s="322"/>
      <c r="N77" s="322"/>
      <c r="O77" s="322"/>
      <c r="P77" s="322"/>
      <c r="Q77" s="322"/>
      <c r="R77" s="322"/>
      <c r="S77" s="322"/>
      <c r="T77" s="322"/>
      <c r="U77" s="322"/>
      <c r="V77" s="322"/>
      <c r="W77" s="322"/>
      <c r="X77" s="322"/>
      <c r="Y77" s="322"/>
      <c r="Z77" s="322"/>
      <c r="AA77" s="322"/>
      <c r="AB77" s="322"/>
      <c r="AC77" s="322"/>
      <c r="AD77" s="322"/>
      <c r="AE77" s="322"/>
      <c r="AF77" s="322"/>
      <c r="AG77" s="322"/>
      <c r="AH77" s="322"/>
      <c r="AI77" s="322"/>
      <c r="AJ77" s="322"/>
      <c r="AK77" s="322"/>
      <c r="AL77" s="322"/>
      <c r="AM77" s="322"/>
      <c r="AN77" s="322"/>
      <c r="AO77" s="323"/>
      <c r="AP77" s="108"/>
      <c r="AQ77" s="109"/>
    </row>
    <row r="78" spans="1:43" s="110" customFormat="1" ht="10.5" customHeight="1">
      <c r="A78" s="304" t="s">
        <v>46</v>
      </c>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c r="AD78" s="305"/>
      <c r="AE78" s="305"/>
      <c r="AF78" s="305"/>
      <c r="AG78" s="305"/>
      <c r="AH78" s="305"/>
      <c r="AI78" s="305"/>
      <c r="AJ78" s="305"/>
      <c r="AK78" s="305"/>
      <c r="AL78" s="305"/>
      <c r="AM78" s="305"/>
      <c r="AN78" s="305"/>
      <c r="AO78" s="306"/>
      <c r="AP78" s="108"/>
      <c r="AQ78" s="109"/>
    </row>
    <row r="79" spans="1:43" s="110" customFormat="1" ht="10.5" customHeight="1">
      <c r="A79" s="307" t="s">
        <v>40</v>
      </c>
      <c r="B79" s="308"/>
      <c r="C79" s="308"/>
      <c r="D79" s="308"/>
      <c r="E79" s="308"/>
      <c r="F79" s="308"/>
      <c r="G79" s="308"/>
      <c r="H79" s="308"/>
      <c r="I79" s="308"/>
      <c r="J79" s="308"/>
      <c r="K79" s="308"/>
      <c r="L79" s="308"/>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9"/>
      <c r="AP79" s="108"/>
      <c r="AQ79" s="109"/>
    </row>
    <row r="80" spans="1:43" s="110" customFormat="1" ht="11.25" customHeight="1">
      <c r="A80" s="310" t="s">
        <v>41</v>
      </c>
      <c r="B80" s="311"/>
      <c r="C80" s="311"/>
      <c r="D80" s="311"/>
      <c r="E80" s="311"/>
      <c r="F80" s="311"/>
      <c r="G80" s="311"/>
      <c r="H80" s="311"/>
      <c r="I80" s="138"/>
      <c r="J80" s="138"/>
      <c r="K80" s="138"/>
      <c r="L80" s="138"/>
      <c r="M80" s="138"/>
      <c r="N80" s="138"/>
      <c r="O80" s="138"/>
      <c r="P80" s="138"/>
      <c r="Q80" s="165"/>
      <c r="R80" s="312" t="s">
        <v>42</v>
      </c>
      <c r="S80" s="312"/>
      <c r="T80" s="312"/>
      <c r="U80" s="312"/>
      <c r="V80" s="138"/>
      <c r="W80" s="138"/>
      <c r="X80" s="138"/>
      <c r="Y80" s="138"/>
      <c r="Z80" s="138"/>
      <c r="AA80" s="138"/>
      <c r="AB80" s="138"/>
      <c r="AC80" s="314" t="s">
        <v>43</v>
      </c>
      <c r="AD80" s="314"/>
      <c r="AE80" s="314"/>
      <c r="AF80" s="314"/>
      <c r="AG80" s="314"/>
      <c r="AH80" s="138"/>
      <c r="AI80" s="138"/>
      <c r="AJ80" s="138"/>
      <c r="AK80" s="138"/>
      <c r="AL80" s="138"/>
      <c r="AM80" s="138"/>
      <c r="AN80" s="138"/>
      <c r="AO80" s="162"/>
      <c r="AP80" s="108"/>
      <c r="AQ80" s="109"/>
    </row>
    <row r="81" spans="1:43" s="110" customFormat="1" ht="11.25" customHeight="1" thickBot="1">
      <c r="A81" s="325" t="s">
        <v>44</v>
      </c>
      <c r="B81" s="326"/>
      <c r="C81" s="326"/>
      <c r="D81" s="326"/>
      <c r="E81" s="326"/>
      <c r="F81" s="326"/>
      <c r="G81" s="326"/>
      <c r="H81" s="326"/>
      <c r="I81" s="129"/>
      <c r="J81" s="129"/>
      <c r="K81" s="129"/>
      <c r="L81" s="129"/>
      <c r="M81" s="129"/>
      <c r="N81" s="129"/>
      <c r="O81" s="129"/>
      <c r="P81" s="129"/>
      <c r="Q81" s="129"/>
      <c r="R81" s="324"/>
      <c r="S81" s="324"/>
      <c r="T81" s="324"/>
      <c r="U81" s="324"/>
      <c r="V81" s="129"/>
      <c r="W81" s="129"/>
      <c r="X81" s="129"/>
      <c r="Y81" s="129"/>
      <c r="Z81" s="129"/>
      <c r="AA81" s="129"/>
      <c r="AB81" s="129"/>
      <c r="AC81" s="327" t="s">
        <v>7</v>
      </c>
      <c r="AD81" s="327"/>
      <c r="AE81" s="327"/>
      <c r="AF81" s="327"/>
      <c r="AG81" s="327"/>
      <c r="AH81" s="129"/>
      <c r="AI81" s="129"/>
      <c r="AJ81" s="129"/>
      <c r="AK81" s="129"/>
      <c r="AL81" s="129"/>
      <c r="AM81" s="129"/>
      <c r="AN81" s="129"/>
      <c r="AO81" s="166"/>
      <c r="AP81" s="108"/>
      <c r="AQ81" s="109"/>
    </row>
    <row r="82" spans="1:43" s="110" customFormat="1" ht="11.25" customHeight="1">
      <c r="A82" s="108" t="s">
        <v>47</v>
      </c>
      <c r="B82" s="167"/>
      <c r="C82" s="167"/>
      <c r="D82" s="167"/>
      <c r="E82" s="167"/>
      <c r="F82" s="167"/>
      <c r="G82" s="167"/>
      <c r="H82" s="167"/>
      <c r="I82" s="167"/>
      <c r="J82" s="167"/>
      <c r="K82" s="167"/>
      <c r="L82" s="167"/>
      <c r="M82" s="167"/>
      <c r="N82" s="167"/>
      <c r="O82" s="167"/>
      <c r="P82" s="167"/>
      <c r="Q82" s="167"/>
      <c r="R82" s="167"/>
      <c r="S82" s="167"/>
      <c r="T82" s="167"/>
      <c r="U82" s="167"/>
      <c r="V82" s="167"/>
      <c r="W82" s="167"/>
      <c r="X82" s="167"/>
      <c r="Y82" s="108"/>
      <c r="Z82" s="167"/>
      <c r="AA82" s="167"/>
      <c r="AB82" s="167"/>
      <c r="AC82" s="167"/>
      <c r="AD82" s="167"/>
      <c r="AE82" s="167"/>
      <c r="AF82" s="167"/>
      <c r="AG82" s="167"/>
      <c r="AH82" s="167"/>
      <c r="AI82" s="167"/>
      <c r="AJ82" s="167"/>
      <c r="AK82" s="167"/>
      <c r="AL82" s="167"/>
      <c r="AM82" s="167"/>
      <c r="AN82" s="167"/>
      <c r="AO82" s="167"/>
      <c r="AP82" s="108"/>
      <c r="AQ82" s="109"/>
    </row>
    <row r="83" spans="1:43" s="110" customFormat="1" ht="11.25" customHeight="1">
      <c r="A83" s="108"/>
      <c r="B83" s="167"/>
      <c r="C83" s="167"/>
      <c r="D83" s="167"/>
      <c r="E83" s="167"/>
      <c r="F83" s="167"/>
      <c r="G83" s="167"/>
      <c r="H83" s="167"/>
      <c r="I83" s="167"/>
      <c r="J83" s="167"/>
      <c r="K83" s="167"/>
      <c r="L83" s="167"/>
      <c r="M83" s="167"/>
      <c r="N83" s="167"/>
      <c r="O83" s="167"/>
      <c r="P83" s="167"/>
      <c r="Q83" s="167"/>
      <c r="R83" s="167"/>
      <c r="S83" s="167"/>
      <c r="T83" s="167"/>
      <c r="U83" s="167"/>
      <c r="V83" s="167"/>
      <c r="W83" s="167"/>
      <c r="X83" s="167"/>
      <c r="Y83" s="108"/>
      <c r="Z83" s="167"/>
      <c r="AA83" s="167"/>
      <c r="AB83" s="167"/>
      <c r="AC83" s="167"/>
      <c r="AD83" s="167"/>
      <c r="AE83" s="167"/>
      <c r="AF83" s="167"/>
      <c r="AG83" s="167"/>
      <c r="AH83" s="167"/>
      <c r="AI83" s="167"/>
      <c r="AJ83" s="167"/>
      <c r="AK83" s="167"/>
      <c r="AL83" s="167"/>
      <c r="AM83" s="167"/>
      <c r="AN83" s="167"/>
      <c r="AO83" s="167"/>
      <c r="AP83" s="108"/>
      <c r="AQ83" s="109"/>
    </row>
    <row r="84" spans="1:43" s="110" customFormat="1" ht="11.25" customHeight="1">
      <c r="A84" s="108"/>
      <c r="B84" s="108"/>
      <c r="C84" s="108"/>
      <c r="D84" s="108"/>
      <c r="E84" s="108"/>
      <c r="F84" s="108"/>
      <c r="G84" s="108"/>
      <c r="H84" s="108"/>
      <c r="I84" s="108"/>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9"/>
    </row>
    <row r="85" spans="1:43" s="110" customFormat="1" ht="11.25" customHeight="1">
      <c r="A85" s="108"/>
      <c r="B85" s="108"/>
      <c r="C85" s="108"/>
      <c r="D85" s="108"/>
      <c r="E85" s="108"/>
      <c r="F85" s="108"/>
      <c r="G85" s="108"/>
      <c r="H85" s="108"/>
      <c r="I85" s="108"/>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9"/>
    </row>
    <row r="86" spans="1:43" s="110" customFormat="1" ht="11.25" customHeight="1">
      <c r="A86" s="108"/>
      <c r="B86" s="108"/>
      <c r="C86" s="108"/>
      <c r="D86" s="108"/>
      <c r="E86" s="108"/>
      <c r="F86" s="108"/>
      <c r="G86" s="108"/>
      <c r="H86" s="108"/>
      <c r="I86" s="108"/>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9"/>
    </row>
    <row r="87" spans="1:43" s="110" customFormat="1" ht="11.25" customHeight="1">
      <c r="A87" s="108"/>
      <c r="B87" s="108"/>
      <c r="C87" s="108"/>
      <c r="D87" s="108"/>
      <c r="E87" s="108"/>
      <c r="F87" s="108"/>
      <c r="G87" s="108"/>
      <c r="H87" s="108"/>
      <c r="I87" s="108"/>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c r="AJ87" s="108"/>
      <c r="AK87" s="108"/>
      <c r="AL87" s="108"/>
      <c r="AM87" s="108"/>
      <c r="AN87" s="108"/>
      <c r="AO87" s="108"/>
      <c r="AP87" s="108"/>
      <c r="AQ87" s="109"/>
    </row>
    <row r="88" spans="1:43" s="110" customFormat="1" ht="11.25" customHeight="1">
      <c r="A88" s="108"/>
      <c r="B88" s="108"/>
      <c r="C88" s="108"/>
      <c r="D88" s="108"/>
      <c r="E88" s="108"/>
      <c r="F88" s="108"/>
      <c r="G88" s="108"/>
      <c r="H88" s="108"/>
      <c r="I88" s="108"/>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c r="AJ88" s="108"/>
      <c r="AK88" s="108"/>
      <c r="AL88" s="108"/>
      <c r="AM88" s="108"/>
      <c r="AN88" s="108"/>
      <c r="AO88" s="108"/>
      <c r="AP88" s="108"/>
      <c r="AQ88" s="109"/>
    </row>
    <row r="89" spans="1:43" s="110" customFormat="1" ht="11.25" customHeight="1">
      <c r="A89" s="108"/>
      <c r="B89" s="108"/>
      <c r="C89" s="108"/>
      <c r="D89" s="108"/>
      <c r="E89" s="108"/>
      <c r="F89" s="108"/>
      <c r="G89" s="108"/>
      <c r="H89" s="108"/>
      <c r="I89" s="108"/>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c r="AJ89" s="108"/>
      <c r="AK89" s="108"/>
      <c r="AL89" s="108"/>
      <c r="AM89" s="108"/>
      <c r="AN89" s="108"/>
      <c r="AO89" s="108"/>
      <c r="AP89" s="108"/>
      <c r="AQ89" s="109"/>
    </row>
    <row r="90" spans="1:43" s="110" customFormat="1" ht="11.25" customHeight="1">
      <c r="A90" s="108"/>
      <c r="B90" s="108"/>
      <c r="C90" s="108"/>
      <c r="D90" s="108"/>
      <c r="E90" s="108"/>
      <c r="F90" s="108"/>
      <c r="G90" s="108"/>
      <c r="H90" s="108"/>
      <c r="I90" s="108"/>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08"/>
      <c r="AQ90" s="109"/>
    </row>
    <row r="91" spans="1:43" s="110" customFormat="1" ht="11.25" customHeight="1">
      <c r="A91" s="108"/>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108"/>
      <c r="AQ91" s="109"/>
    </row>
    <row r="92" spans="1:43" s="110" customFormat="1" ht="11.25" customHeight="1">
      <c r="A92" s="108"/>
      <c r="B92" s="108"/>
      <c r="C92" s="108"/>
      <c r="D92" s="108"/>
      <c r="E92" s="108"/>
      <c r="F92" s="108"/>
      <c r="G92" s="108"/>
      <c r="H92" s="108"/>
      <c r="I92" s="108"/>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c r="AJ92" s="108"/>
      <c r="AK92" s="108"/>
      <c r="AL92" s="108"/>
      <c r="AM92" s="108"/>
      <c r="AN92" s="108"/>
      <c r="AO92" s="108"/>
      <c r="AP92" s="108"/>
      <c r="AQ92" s="109"/>
    </row>
    <row r="93" spans="1:43" s="110" customFormat="1" ht="11.25" customHeight="1">
      <c r="A93" s="108"/>
      <c r="B93" s="108"/>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108"/>
      <c r="AQ93" s="109"/>
    </row>
    <row r="94" spans="1:43" s="110" customFormat="1" ht="11.25" customHeight="1">
      <c r="A94" s="108"/>
      <c r="B94" s="108"/>
      <c r="C94" s="108"/>
      <c r="D94" s="108"/>
      <c r="E94" s="108"/>
      <c r="F94" s="108"/>
      <c r="G94" s="108"/>
      <c r="H94" s="108"/>
      <c r="I94" s="108"/>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108"/>
      <c r="AH94" s="108"/>
      <c r="AI94" s="108"/>
      <c r="AJ94" s="108"/>
      <c r="AK94" s="108"/>
      <c r="AL94" s="108"/>
      <c r="AM94" s="108"/>
      <c r="AN94" s="108"/>
      <c r="AO94" s="108"/>
      <c r="AP94" s="108"/>
      <c r="AQ94" s="109"/>
    </row>
    <row r="95" spans="1:43" s="110" customFormat="1" ht="11.25" customHeight="1">
      <c r="A95" s="108"/>
      <c r="B95" s="108"/>
      <c r="C95" s="108"/>
      <c r="D95" s="108"/>
      <c r="E95" s="108"/>
      <c r="F95" s="108"/>
      <c r="G95" s="108"/>
      <c r="H95" s="108"/>
      <c r="I95" s="108"/>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108"/>
      <c r="AH95" s="108"/>
      <c r="AI95" s="108"/>
      <c r="AJ95" s="108"/>
      <c r="AK95" s="108"/>
      <c r="AL95" s="108"/>
      <c r="AM95" s="108"/>
      <c r="AN95" s="108"/>
      <c r="AO95" s="108"/>
      <c r="AP95" s="108"/>
      <c r="AQ95" s="109"/>
    </row>
    <row r="96" spans="1:43" s="110" customFormat="1" ht="11.25" customHeight="1">
      <c r="A96" s="108"/>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9"/>
    </row>
    <row r="97" spans="1:43" s="110" customFormat="1" ht="11.25" customHeight="1">
      <c r="A97" s="108"/>
      <c r="B97" s="108"/>
      <c r="C97" s="108"/>
      <c r="D97" s="108"/>
      <c r="E97" s="108"/>
      <c r="F97" s="108"/>
      <c r="G97" s="108"/>
      <c r="H97" s="108"/>
      <c r="I97" s="108"/>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9"/>
    </row>
    <row r="98" spans="1:43" s="110" customFormat="1" ht="11.25" customHeight="1">
      <c r="A98" s="108"/>
      <c r="B98" s="108"/>
      <c r="C98" s="108"/>
      <c r="D98" s="108"/>
      <c r="E98" s="108"/>
      <c r="F98" s="108"/>
      <c r="G98" s="108"/>
      <c r="H98" s="108"/>
      <c r="I98" s="108"/>
      <c r="J98" s="108"/>
      <c r="K98" s="108"/>
      <c r="L98" s="108"/>
      <c r="M98" s="108"/>
      <c r="N98" s="108"/>
      <c r="O98" s="108"/>
      <c r="P98" s="108"/>
      <c r="Q98" s="108"/>
      <c r="R98" s="108"/>
      <c r="S98" s="108"/>
      <c r="T98" s="108"/>
      <c r="U98" s="108"/>
      <c r="V98" s="108"/>
      <c r="W98" s="108"/>
      <c r="X98" s="108"/>
      <c r="Y98" s="108"/>
      <c r="Z98" s="108"/>
      <c r="AA98" s="108"/>
      <c r="AB98" s="108"/>
      <c r="AC98" s="108"/>
      <c r="AD98" s="108"/>
      <c r="AE98" s="108"/>
      <c r="AF98" s="108"/>
      <c r="AG98" s="108"/>
      <c r="AH98" s="108"/>
      <c r="AI98" s="108"/>
      <c r="AJ98" s="108"/>
      <c r="AK98" s="108"/>
      <c r="AL98" s="108"/>
      <c r="AM98" s="108"/>
      <c r="AN98" s="108"/>
      <c r="AO98" s="108"/>
      <c r="AP98" s="108"/>
      <c r="AQ98" s="109"/>
    </row>
    <row r="99" spans="1:43" s="110" customFormat="1" ht="11.25" customHeight="1">
      <c r="A99" s="108"/>
      <c r="B99" s="108"/>
      <c r="C99" s="108"/>
      <c r="D99" s="108"/>
      <c r="E99" s="108"/>
      <c r="F99" s="108"/>
      <c r="G99" s="108"/>
      <c r="H99" s="108"/>
      <c r="I99" s="108"/>
      <c r="J99" s="108"/>
      <c r="K99" s="108"/>
      <c r="L99" s="108"/>
      <c r="M99" s="108"/>
      <c r="N99" s="108"/>
      <c r="O99" s="108"/>
      <c r="P99" s="108"/>
      <c r="Q99" s="108"/>
      <c r="R99" s="108"/>
      <c r="S99" s="108"/>
      <c r="T99" s="108"/>
      <c r="U99" s="108"/>
      <c r="V99" s="108"/>
      <c r="W99" s="108"/>
      <c r="X99" s="108"/>
      <c r="Y99" s="108"/>
      <c r="Z99" s="108"/>
      <c r="AA99" s="108"/>
      <c r="AB99" s="108"/>
      <c r="AC99" s="108"/>
      <c r="AD99" s="108"/>
      <c r="AE99" s="108"/>
      <c r="AF99" s="108"/>
      <c r="AG99" s="108"/>
      <c r="AH99" s="108"/>
      <c r="AI99" s="108"/>
      <c r="AJ99" s="108"/>
      <c r="AK99" s="108"/>
      <c r="AL99" s="108"/>
      <c r="AM99" s="108"/>
      <c r="AN99" s="108"/>
      <c r="AO99" s="108"/>
      <c r="AP99" s="108"/>
      <c r="AQ99" s="109"/>
    </row>
    <row r="100" spans="1:43" s="110" customFormat="1" ht="11.25" customHeight="1">
      <c r="A100" s="108"/>
      <c r="B100" s="108"/>
      <c r="C100" s="108"/>
      <c r="D100" s="108"/>
      <c r="E100" s="108"/>
      <c r="F100" s="108"/>
      <c r="G100" s="108"/>
      <c r="H100" s="108"/>
      <c r="I100" s="108"/>
      <c r="J100" s="108"/>
      <c r="K100" s="108"/>
      <c r="L100" s="108"/>
      <c r="M100" s="108"/>
      <c r="N100" s="108"/>
      <c r="O100" s="108"/>
      <c r="P100" s="108"/>
      <c r="Q100" s="108"/>
      <c r="R100" s="108"/>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8"/>
      <c r="AO100" s="108"/>
      <c r="AP100" s="108"/>
      <c r="AQ100" s="109"/>
    </row>
    <row r="101" spans="1:43" s="110" customFormat="1" ht="11.25" customHeight="1">
      <c r="A101" s="108"/>
      <c r="B101" s="108"/>
      <c r="C101" s="108"/>
      <c r="D101" s="108"/>
      <c r="E101" s="108"/>
      <c r="F101" s="108"/>
      <c r="G101" s="108"/>
      <c r="H101" s="108"/>
      <c r="I101" s="108"/>
      <c r="J101" s="108"/>
      <c r="K101" s="108"/>
      <c r="L101" s="108"/>
      <c r="M101" s="108"/>
      <c r="N101" s="108"/>
      <c r="O101" s="108"/>
      <c r="P101" s="108"/>
      <c r="Q101" s="108"/>
      <c r="R101" s="108"/>
      <c r="S101" s="108"/>
      <c r="T101" s="108"/>
      <c r="U101" s="108"/>
      <c r="V101" s="108"/>
      <c r="W101" s="108"/>
      <c r="X101" s="108"/>
      <c r="Y101" s="108"/>
      <c r="Z101" s="108"/>
      <c r="AA101" s="108"/>
      <c r="AB101" s="108"/>
      <c r="AC101" s="108"/>
      <c r="AD101" s="108"/>
      <c r="AE101" s="108"/>
      <c r="AF101" s="108"/>
      <c r="AG101" s="108"/>
      <c r="AH101" s="108"/>
      <c r="AI101" s="108"/>
      <c r="AJ101" s="108"/>
      <c r="AK101" s="108"/>
      <c r="AL101" s="108"/>
      <c r="AM101" s="108"/>
      <c r="AN101" s="108"/>
      <c r="AO101" s="108"/>
      <c r="AP101" s="108"/>
      <c r="AQ101" s="109"/>
    </row>
    <row r="102" spans="1:43" s="110" customFormat="1" ht="11.25" customHeight="1">
      <c r="A102" s="108"/>
      <c r="B102" s="108"/>
      <c r="C102" s="108"/>
      <c r="D102" s="108"/>
      <c r="E102" s="108"/>
      <c r="F102" s="108"/>
      <c r="G102" s="108"/>
      <c r="H102" s="108"/>
      <c r="I102" s="108"/>
      <c r="J102" s="108"/>
      <c r="K102" s="108"/>
      <c r="L102" s="108"/>
      <c r="M102" s="108"/>
      <c r="N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9"/>
    </row>
    <row r="103" spans="1:43" s="110" customFormat="1" ht="11.25" customHeight="1">
      <c r="A103" s="108"/>
      <c r="B103" s="108"/>
      <c r="C103" s="108"/>
      <c r="D103" s="108"/>
      <c r="E103" s="108"/>
      <c r="F103" s="108"/>
      <c r="G103" s="108"/>
      <c r="H103" s="108"/>
      <c r="I103" s="108"/>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9"/>
    </row>
    <row r="104" spans="1:43" s="110" customFormat="1" ht="11.25" customHeight="1">
      <c r="A104" s="108"/>
      <c r="B104" s="108"/>
      <c r="C104" s="108"/>
      <c r="D104" s="108"/>
      <c r="E104" s="108"/>
      <c r="F104" s="108"/>
      <c r="G104" s="108"/>
      <c r="H104" s="108"/>
      <c r="I104" s="108"/>
      <c r="J104" s="108"/>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9"/>
    </row>
    <row r="105" spans="1:43" s="110" customFormat="1" ht="11.25" customHeight="1">
      <c r="A105" s="108"/>
      <c r="B105" s="108"/>
      <c r="C105" s="108"/>
      <c r="D105" s="108"/>
      <c r="E105" s="108"/>
      <c r="F105" s="108"/>
      <c r="G105" s="108"/>
      <c r="H105" s="108"/>
      <c r="I105" s="108"/>
      <c r="J105" s="108"/>
      <c r="K105" s="108"/>
      <c r="L105" s="108"/>
      <c r="M105" s="108"/>
      <c r="N105" s="108"/>
      <c r="O105" s="108"/>
      <c r="P105" s="108"/>
      <c r="Q105" s="108"/>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108"/>
      <c r="AM105" s="108"/>
      <c r="AN105" s="108"/>
      <c r="AO105" s="108"/>
      <c r="AP105" s="108"/>
      <c r="AQ105" s="109"/>
    </row>
    <row r="106" spans="1:43" s="110" customFormat="1" ht="13.5" customHeight="1">
      <c r="A106" s="108"/>
      <c r="B106" s="108"/>
      <c r="C106" s="108"/>
      <c r="D106" s="108"/>
      <c r="E106" s="108"/>
      <c r="F106" s="108"/>
      <c r="G106" s="108"/>
      <c r="H106" s="108"/>
      <c r="I106" s="108"/>
      <c r="J106" s="108"/>
      <c r="K106" s="108"/>
      <c r="L106" s="108"/>
      <c r="M106" s="108"/>
      <c r="N106" s="108"/>
      <c r="O106" s="108"/>
      <c r="P106" s="108"/>
      <c r="Q106" s="108"/>
      <c r="R106" s="108"/>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8"/>
      <c r="AO106" s="108"/>
      <c r="AP106" s="108"/>
      <c r="AQ106" s="109"/>
    </row>
    <row r="107" spans="1:43" s="110" customFormat="1" ht="13.5" customHeight="1">
      <c r="A107" s="108"/>
      <c r="B107" s="108"/>
      <c r="C107" s="108"/>
      <c r="D107" s="108"/>
      <c r="E107" s="108"/>
      <c r="F107" s="108"/>
      <c r="G107" s="108"/>
      <c r="H107" s="108"/>
      <c r="I107" s="108"/>
      <c r="J107" s="108"/>
      <c r="K107" s="108"/>
      <c r="L107" s="108"/>
      <c r="M107" s="108"/>
      <c r="N107" s="108"/>
      <c r="O107" s="108"/>
      <c r="P107" s="108"/>
      <c r="Q107" s="108"/>
      <c r="R107" s="108"/>
      <c r="S107" s="108"/>
      <c r="T107" s="108"/>
      <c r="U107" s="108"/>
      <c r="V107" s="108"/>
      <c r="W107" s="108"/>
      <c r="X107" s="108"/>
      <c r="Y107" s="108"/>
      <c r="Z107" s="108"/>
      <c r="AA107" s="108"/>
      <c r="AB107" s="108"/>
      <c r="AC107" s="108"/>
      <c r="AD107" s="108"/>
      <c r="AE107" s="108"/>
      <c r="AF107" s="108"/>
      <c r="AG107" s="108"/>
      <c r="AH107" s="108"/>
      <c r="AI107" s="108"/>
      <c r="AJ107" s="108"/>
      <c r="AK107" s="108"/>
      <c r="AL107" s="108"/>
      <c r="AM107" s="108"/>
      <c r="AN107" s="108"/>
      <c r="AO107" s="108"/>
      <c r="AP107" s="108"/>
      <c r="AQ107" s="109"/>
    </row>
    <row r="108" spans="1:43" s="110" customFormat="1" ht="13.5" customHeight="1">
      <c r="A108" s="108"/>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9"/>
    </row>
    <row r="109" spans="1:43" s="110" customFormat="1" ht="13.5" customHeight="1">
      <c r="A109" s="108"/>
      <c r="B109" s="108"/>
      <c r="C109" s="108"/>
      <c r="D109" s="108"/>
      <c r="E109" s="108"/>
      <c r="F109" s="108"/>
      <c r="G109" s="108"/>
      <c r="H109" s="108"/>
      <c r="I109" s="108"/>
      <c r="J109" s="108"/>
      <c r="K109" s="108"/>
      <c r="L109" s="108"/>
      <c r="M109" s="108"/>
      <c r="N109" s="108"/>
      <c r="O109" s="108"/>
      <c r="P109" s="108"/>
      <c r="Q109" s="108"/>
      <c r="R109" s="108"/>
      <c r="S109" s="108"/>
      <c r="T109" s="108"/>
      <c r="U109" s="108"/>
      <c r="V109" s="108"/>
      <c r="W109" s="108"/>
      <c r="X109" s="108"/>
      <c r="Y109" s="108"/>
      <c r="Z109" s="108"/>
      <c r="AA109" s="108"/>
      <c r="AB109" s="108"/>
      <c r="AC109" s="108"/>
      <c r="AD109" s="108"/>
      <c r="AE109" s="108"/>
      <c r="AF109" s="108"/>
      <c r="AG109" s="108"/>
      <c r="AH109" s="108"/>
      <c r="AI109" s="108"/>
      <c r="AJ109" s="108"/>
      <c r="AK109" s="108"/>
      <c r="AL109" s="108"/>
      <c r="AM109" s="108"/>
      <c r="AN109" s="108"/>
      <c r="AO109" s="108"/>
      <c r="AP109" s="108"/>
      <c r="AQ109" s="109"/>
    </row>
    <row r="110" spans="1:43" s="110" customFormat="1" ht="13.5" customHeight="1">
      <c r="A110" s="108"/>
      <c r="B110" s="108"/>
      <c r="C110" s="108"/>
      <c r="D110" s="108"/>
      <c r="E110" s="108"/>
      <c r="F110" s="108"/>
      <c r="G110" s="108"/>
      <c r="H110" s="108"/>
      <c r="I110" s="108"/>
      <c r="J110" s="108"/>
      <c r="K110" s="108"/>
      <c r="L110" s="108"/>
      <c r="M110" s="108"/>
      <c r="N110" s="108"/>
      <c r="O110" s="108"/>
      <c r="P110" s="108"/>
      <c r="Q110" s="108"/>
      <c r="R110" s="108"/>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8"/>
      <c r="AO110" s="108"/>
      <c r="AP110" s="108"/>
      <c r="AQ110" s="109"/>
    </row>
    <row r="111" spans="1:43" s="110" customFormat="1" ht="13.5" customHeight="1">
      <c r="A111" s="108"/>
      <c r="B111" s="108"/>
      <c r="C111" s="108"/>
      <c r="D111" s="108"/>
      <c r="E111" s="108"/>
      <c r="F111" s="108"/>
      <c r="G111" s="108"/>
      <c r="H111" s="108"/>
      <c r="I111" s="108"/>
      <c r="J111" s="108"/>
      <c r="K111" s="108"/>
      <c r="L111" s="108"/>
      <c r="M111" s="108"/>
      <c r="N111" s="108"/>
      <c r="O111" s="108"/>
      <c r="P111" s="108"/>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9"/>
    </row>
  </sheetData>
  <autoFilter ref="A1:AW226" xr:uid="{6B14D0D3-FA14-40ED-BF5F-CB1E46C5729E}"/>
  <mergeCells count="171">
    <mergeCell ref="A11:A13"/>
    <mergeCell ref="B11:E13"/>
    <mergeCell ref="H11:I13"/>
    <mergeCell ref="R11:U13"/>
    <mergeCell ref="Y11:Z13"/>
    <mergeCell ref="AI11:AO13"/>
    <mergeCell ref="H2:AG2"/>
    <mergeCell ref="AH2:AO2"/>
    <mergeCell ref="H3:AG3"/>
    <mergeCell ref="AH3:AO3"/>
    <mergeCell ref="H4:AG4"/>
    <mergeCell ref="L5:AB9"/>
    <mergeCell ref="B23:AI25"/>
    <mergeCell ref="AQ23:AU25"/>
    <mergeCell ref="AK24:AK25"/>
    <mergeCell ref="AL24:AL25"/>
    <mergeCell ref="AM24:AM25"/>
    <mergeCell ref="AN24:AN25"/>
    <mergeCell ref="A14:AO14"/>
    <mergeCell ref="A15:A17"/>
    <mergeCell ref="B15:M17"/>
    <mergeCell ref="AQ15:AQ17"/>
    <mergeCell ref="AR16:AR17"/>
    <mergeCell ref="B19:AN20"/>
    <mergeCell ref="AQ19:AT20"/>
    <mergeCell ref="A30:AO30"/>
    <mergeCell ref="A31:A33"/>
    <mergeCell ref="B31:M33"/>
    <mergeCell ref="B35:AN36"/>
    <mergeCell ref="B39:AI41"/>
    <mergeCell ref="AK40:AK41"/>
    <mergeCell ref="AL40:AL41"/>
    <mergeCell ref="AM40:AM41"/>
    <mergeCell ref="AN40:AN41"/>
    <mergeCell ref="A43:AO43"/>
    <mergeCell ref="A44:K46"/>
    <mergeCell ref="L44:N46"/>
    <mergeCell ref="O44:AH44"/>
    <mergeCell ref="AI44:AO46"/>
    <mergeCell ref="O45:S46"/>
    <mergeCell ref="T45:X46"/>
    <mergeCell ref="Y45:AC46"/>
    <mergeCell ref="AD45:AH46"/>
    <mergeCell ref="AQ45:AQ46"/>
    <mergeCell ref="A47:K50"/>
    <mergeCell ref="L47:N47"/>
    <mergeCell ref="O47:S47"/>
    <mergeCell ref="T47:X47"/>
    <mergeCell ref="Y47:AC47"/>
    <mergeCell ref="AD47:AH47"/>
    <mergeCell ref="AI47:AO47"/>
    <mergeCell ref="L48:N48"/>
    <mergeCell ref="O48:S48"/>
    <mergeCell ref="L50:N50"/>
    <mergeCell ref="O50:S50"/>
    <mergeCell ref="T50:X50"/>
    <mergeCell ref="Y50:AC50"/>
    <mergeCell ref="AD50:AH50"/>
    <mergeCell ref="AI50:AO50"/>
    <mergeCell ref="T48:X48"/>
    <mergeCell ref="Y48:AC48"/>
    <mergeCell ref="AD48:AH48"/>
    <mergeCell ref="AI48:AO48"/>
    <mergeCell ref="L49:N49"/>
    <mergeCell ref="O49:S49"/>
    <mergeCell ref="T49:X49"/>
    <mergeCell ref="Y49:AC49"/>
    <mergeCell ref="AD49:AH49"/>
    <mergeCell ref="AI49:AO49"/>
    <mergeCell ref="L52:N52"/>
    <mergeCell ref="O52:S52"/>
    <mergeCell ref="T52:X52"/>
    <mergeCell ref="Y52:AC52"/>
    <mergeCell ref="AD52:AH52"/>
    <mergeCell ref="AI52:AO52"/>
    <mergeCell ref="L51:N51"/>
    <mergeCell ref="O51:S51"/>
    <mergeCell ref="T51:X51"/>
    <mergeCell ref="Y51:AC51"/>
    <mergeCell ref="AD51:AH51"/>
    <mergeCell ref="AI51:AO51"/>
    <mergeCell ref="L54:N54"/>
    <mergeCell ref="O54:S54"/>
    <mergeCell ref="T54:X54"/>
    <mergeCell ref="Y54:AC54"/>
    <mergeCell ref="AD54:AH54"/>
    <mergeCell ref="AI54:AO54"/>
    <mergeCell ref="L53:N53"/>
    <mergeCell ref="O53:S53"/>
    <mergeCell ref="T53:X53"/>
    <mergeCell ref="Y53:AC53"/>
    <mergeCell ref="AD53:AH53"/>
    <mergeCell ref="AI53:AO53"/>
    <mergeCell ref="L56:N56"/>
    <mergeCell ref="O56:S56"/>
    <mergeCell ref="T56:X56"/>
    <mergeCell ref="Y56:AC56"/>
    <mergeCell ref="AD56:AH56"/>
    <mergeCell ref="AI56:AO56"/>
    <mergeCell ref="L55:N55"/>
    <mergeCell ref="O55:S55"/>
    <mergeCell ref="T55:X55"/>
    <mergeCell ref="Y55:AC55"/>
    <mergeCell ref="AD55:AH55"/>
    <mergeCell ref="AI55:AO55"/>
    <mergeCell ref="L58:N58"/>
    <mergeCell ref="O58:S58"/>
    <mergeCell ref="T58:X58"/>
    <mergeCell ref="Y58:AC58"/>
    <mergeCell ref="AD58:AH58"/>
    <mergeCell ref="AI58:AO58"/>
    <mergeCell ref="L57:N57"/>
    <mergeCell ref="O57:S57"/>
    <mergeCell ref="T57:X57"/>
    <mergeCell ref="Y57:AC57"/>
    <mergeCell ref="AD57:AH57"/>
    <mergeCell ref="AI57:AO57"/>
    <mergeCell ref="AI59:AO59"/>
    <mergeCell ref="A60:K61"/>
    <mergeCell ref="A62:K62"/>
    <mergeCell ref="L62:N62"/>
    <mergeCell ref="O62:S62"/>
    <mergeCell ref="T62:X62"/>
    <mergeCell ref="Y62:AC62"/>
    <mergeCell ref="AD62:AH62"/>
    <mergeCell ref="AI62:AO62"/>
    <mergeCell ref="A59:K59"/>
    <mergeCell ref="L59:N59"/>
    <mergeCell ref="O59:S59"/>
    <mergeCell ref="T59:X59"/>
    <mergeCell ref="Y59:AC59"/>
    <mergeCell ref="AD59:AH59"/>
    <mergeCell ref="AI63:AO63"/>
    <mergeCell ref="A64:K64"/>
    <mergeCell ref="L64:N64"/>
    <mergeCell ref="O64:S64"/>
    <mergeCell ref="T64:X64"/>
    <mergeCell ref="Y64:AC64"/>
    <mergeCell ref="AD64:AH64"/>
    <mergeCell ref="AI64:AO64"/>
    <mergeCell ref="A63:K63"/>
    <mergeCell ref="L63:N63"/>
    <mergeCell ref="O63:S63"/>
    <mergeCell ref="T63:X63"/>
    <mergeCell ref="Y63:AC63"/>
    <mergeCell ref="AD63:AH63"/>
    <mergeCell ref="AI65:AO65"/>
    <mergeCell ref="A66:AO66"/>
    <mergeCell ref="A67:AO69"/>
    <mergeCell ref="A70:AO70"/>
    <mergeCell ref="A71:AO71"/>
    <mergeCell ref="A72:H72"/>
    <mergeCell ref="R72:U73"/>
    <mergeCell ref="AC72:AG72"/>
    <mergeCell ref="A73:H73"/>
    <mergeCell ref="AC73:AG73"/>
    <mergeCell ref="A65:K65"/>
    <mergeCell ref="L65:N65"/>
    <mergeCell ref="O65:S65"/>
    <mergeCell ref="T65:X65"/>
    <mergeCell ref="Y65:AC65"/>
    <mergeCell ref="AD65:AH65"/>
    <mergeCell ref="A74:AO74"/>
    <mergeCell ref="A75:AO77"/>
    <mergeCell ref="A78:AO78"/>
    <mergeCell ref="A79:AO79"/>
    <mergeCell ref="A80:H80"/>
    <mergeCell ref="R80:U81"/>
    <mergeCell ref="AC80:AG80"/>
    <mergeCell ref="A81:H81"/>
    <mergeCell ref="AC81:AG81"/>
  </mergeCells>
  <dataValidations count="1">
    <dataValidation type="list" allowBlank="1" showInputMessage="1" showErrorMessage="1" sqref="AQ15" xr:uid="{939ECA72-D8CE-4925-9925-C8B573002BEB}">
      <formula1>#REF!</formula1>
    </dataValidation>
  </dataValidations>
  <printOptions horizontalCentered="1"/>
  <pageMargins left="0.25" right="0" top="0.25" bottom="0" header="0.3" footer="0.3"/>
  <pageSetup paperSize="9" scale="96"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BIR2307 (2)</vt:lpstr>
      <vt:lpstr>Page1</vt:lpstr>
      <vt:lpstr>Page2</vt:lpstr>
      <vt:lpstr>BIR2307-tv</vt:lpstr>
      <vt:lpstr>'BIR2307 (2)'!Print_Area</vt:lpstr>
      <vt:lpstr>'BIR2307-tv'!Print_Area</vt:lpstr>
      <vt:lpstr>Page1!Print_Area</vt:lpstr>
      <vt:lpstr>Page2!Print_Area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 Amalia F. Dacumos</dc:creator>
  <cp:keywords/>
  <dc:description/>
  <cp:lastModifiedBy>JSTN ACE</cp:lastModifiedBy>
  <cp:revision/>
  <dcterms:created xsi:type="dcterms:W3CDTF">2019-01-08T04:26:36Z</dcterms:created>
  <dcterms:modified xsi:type="dcterms:W3CDTF">2026-07-02T03:16:35Z</dcterms:modified>
  <cp:category/>
  <cp:contentStatus/>
</cp:coreProperties>
</file>