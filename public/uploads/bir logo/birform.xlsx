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graga\Downloads\"/>
    </mc:Choice>
  </mc:AlternateContent>
  <xr:revisionPtr revIDLastSave="0" documentId="13_ncr:1_{029C3428-57A7-40ED-98D7-838BBCD5C9DB}" xr6:coauthVersionLast="47" xr6:coauthVersionMax="47" xr10:uidLastSave="{00000000-0000-0000-0000-000000000000}"/>
  <bookViews>
    <workbookView xWindow="-108" yWindow="-108" windowWidth="23256" windowHeight="13176" xr2:uid="{FFB81972-F726-4D05-9B33-C51E3F6F7AE4}"/>
  </bookViews>
  <sheets>
    <sheet name="Sheet1" sheetId="1" r:id="rId1"/>
  </sheets>
  <externalReferences>
    <externalReference r:id="rId2"/>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Y59" i="1" l="1"/>
  <c r="T59" i="1"/>
  <c r="O59" i="1"/>
  <c r="AT53" i="1"/>
  <c r="AD47" i="1"/>
  <c r="AD59" i="1" s="1"/>
  <c r="A47" i="1"/>
  <c r="AQ23" i="1"/>
  <c r="AR13" i="1"/>
  <c r="AE13" i="1" s="1"/>
  <c r="P13" i="1"/>
  <c r="O13" i="1"/>
  <c r="N13" i="1"/>
  <c r="M13" i="1"/>
  <c r="L13" i="1"/>
  <c r="AG13" i="1" l="1"/>
  <c r="AI47" i="1"/>
  <c r="AI59" i="1" s="1"/>
  <c r="AF13" i="1"/>
  <c r="AC13" i="1"/>
</calcChain>
</file>

<file path=xl/sharedStrings.xml><?xml version="1.0" encoding="utf-8"?>
<sst xmlns="http://schemas.openxmlformats.org/spreadsheetml/2006/main" count="71" uniqueCount="53">
  <si>
    <t>Republic of the Philippines</t>
  </si>
  <si>
    <t>Department of Finance</t>
  </si>
  <si>
    <t>Bureau of Internal Revenue</t>
  </si>
  <si>
    <t>Certificate of Creditable Tax Withheld at Source</t>
  </si>
  <si>
    <t>Fill in all applicable spaces. Mark all appropriate boxes with an "X".</t>
  </si>
  <si>
    <t>For the Period</t>
  </si>
  <si>
    <t xml:space="preserve"> From</t>
  </si>
  <si>
    <t>(MM/DD/YYYY)</t>
  </si>
  <si>
    <t>To</t>
  </si>
  <si>
    <t>20250701</t>
  </si>
  <si>
    <t>Part I – Payee Information</t>
  </si>
  <si>
    <r>
      <t xml:space="preserve">Taxpayer Identification Number </t>
    </r>
    <r>
      <rPr>
        <i/>
        <sz val="8"/>
        <color theme="1"/>
        <rFont val="Arial"/>
        <family val="2"/>
      </rPr>
      <t>(TIN)</t>
    </r>
  </si>
  <si>
    <t>-</t>
  </si>
  <si>
    <r>
      <t xml:space="preserve">Payee’s Name </t>
    </r>
    <r>
      <rPr>
        <i/>
        <sz val="8"/>
        <color theme="1"/>
        <rFont val="Arial"/>
        <family val="2"/>
      </rPr>
      <t>(Last Name, First Name, Middle Name for Individual OR Registered Name for Non-Individual)</t>
    </r>
  </si>
  <si>
    <t>10-17 Consulit Technologies &amp; Services Inc.</t>
  </si>
  <si>
    <t>Registered Address</t>
  </si>
  <si>
    <t>4A</t>
  </si>
  <si>
    <t>ZIP Code</t>
  </si>
  <si>
    <t>5 Tiburcio Ext. Kruz na Ligas, Quezon City Metro Manila Philippines</t>
  </si>
  <si>
    <r>
      <t xml:space="preserve">Foreign Address, </t>
    </r>
    <r>
      <rPr>
        <i/>
        <sz val="8"/>
        <color theme="1"/>
        <rFont val="Arial"/>
        <family val="2"/>
      </rPr>
      <t xml:space="preserve">if applicable </t>
    </r>
  </si>
  <si>
    <t>Part II – Payor Information</t>
  </si>
  <si>
    <r>
      <t xml:space="preserve">Payor’s Name </t>
    </r>
    <r>
      <rPr>
        <i/>
        <sz val="8"/>
        <color theme="1"/>
        <rFont val="Arial"/>
        <family val="2"/>
      </rPr>
      <t>(Last Name, First Name, Middle Name for Individual OR Registered Name for Non-Individual)</t>
    </r>
  </si>
  <si>
    <t>ORIENTAL CONSULTANTS GLOBAL CO. LTD. - PHILIPPINE BRANCH</t>
  </si>
  <si>
    <t>8A</t>
  </si>
  <si>
    <t>UNIT 38C RUFINO PACIFIC TOWER, 6784 AYALA AVE., BRGY. SAN LORENZO, 4TH DIST., MAKATI CITY</t>
  </si>
  <si>
    <t>Part III – Details of Monthly Income Payments and Taxes Withheld</t>
  </si>
  <si>
    <t>Income Payments Subject to Expanded Withholding Tax</t>
  </si>
  <si>
    <t>ATC</t>
  </si>
  <si>
    <t>AMOUNT OF INCOME PAYMENTS</t>
  </si>
  <si>
    <t>Tax Withheld for the Quarter</t>
  </si>
  <si>
    <t>1st Month of the Quarter</t>
  </si>
  <si>
    <t>2nd Month of the Quarter</t>
  </si>
  <si>
    <t>3rd Month of the Quarter</t>
  </si>
  <si>
    <t>Total</t>
  </si>
  <si>
    <t>TAX RATE</t>
  </si>
  <si>
    <t>WC160</t>
  </si>
  <si>
    <t>Money Payments Subject to Withholding of Business Tax (Government &amp; Private)</t>
  </si>
  <si>
    <t xml:space="preserve">       We declare under the penalties of perjury that this certificate has been made in good faith, verified by us, and to the best of our knowledge and belief, is true and correct, pursuant to the provisions of the National Internal Revenue Code, as amended, and the regulations issued under authority thereof. Further, we give our consent to the processing of our information as contemplated under the *Data Privacy Act of 2012 (R.A. No. 10173) for legitimate and lawful purposes.</t>
  </si>
  <si>
    <r>
      <t xml:space="preserve">ELSA G. OCRETO
</t>
    </r>
    <r>
      <rPr>
        <sz val="8"/>
        <color theme="1"/>
        <rFont val="Arial"/>
        <family val="2"/>
      </rPr>
      <t>ASSISTANT GENERAL MANAGER, FINANCE &amp; ACCOUNTING /TIN 119-839-069</t>
    </r>
  </si>
  <si>
    <t xml:space="preserve">Signature over Printed Name of Payor/Payor’s Authorized Representative/Tax Agent </t>
  </si>
  <si>
    <t xml:space="preserve"> (Indicate Title/Designation and TIN)</t>
  </si>
  <si>
    <t>Tax Agent Accreditation No./</t>
  </si>
  <si>
    <r>
      <t xml:space="preserve">Date of Issue
</t>
    </r>
    <r>
      <rPr>
        <i/>
        <sz val="7"/>
        <color theme="1"/>
        <rFont val="Arial"/>
        <family val="2"/>
      </rPr>
      <t>(MM/DD/YYYY)</t>
    </r>
  </si>
  <si>
    <t>Date of Expiry</t>
  </si>
  <si>
    <t>Attorney’s Roll No. (if applicable)</t>
  </si>
  <si>
    <t>CONFORME:</t>
  </si>
  <si>
    <t xml:space="preserve">Signature over Printed Name of Payee/Payee’s Authorized Representative/Tax Agent </t>
  </si>
  <si>
    <t xml:space="preserve"> *NOTE: The BIR Data Privacy is in the BIR website (www.bir.gov.ph)  </t>
  </si>
  <si>
    <t>January 2018 (ENCS)</t>
  </si>
  <si>
    <t>BIR Form No.</t>
  </si>
  <si>
    <t xml:space="preserve"> For BIR  
 Use Only </t>
  </si>
  <si>
    <t xml:space="preserve"> BCS/
 Item: </t>
  </si>
  <si>
    <t>2307 01/18ENCS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</si>
</sst>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9">
    <font>
      <sz val="11"/>
      <color theme="1"/>
      <name val="Aptos Narrow"/>
      <family val="2"/>
      <scheme val="minor"/>
    </font>
    <font>
      <sz val="11"/>
      <color theme="1"/>
      <name val="Aptos Narrow"/>
      <family val="2"/>
      <scheme val="minor"/>
    </font>
    <font>
      <sz val="8"/>
      <color theme="1"/>
      <name val="Arial"/>
      <family val="2"/>
    </font>
    <font>
      <sz val="9"/>
      <color theme="1"/>
      <name val="Times New Roman"/>
      <family val="1"/>
    </font>
    <font>
      <b/>
      <sz val="8"/>
      <color theme="1"/>
      <name val="Arial"/>
      <family val="2"/>
    </font>
    <font>
      <sz val="9"/>
      <color rgb="FFFF0000"/>
      <name val="Times New Roman"/>
      <family val="1"/>
    </font>
    <font>
      <b/>
      <sz val="9"/>
      <color rgb="FFFF0000"/>
      <name val="Times New Roman"/>
      <family val="1"/>
    </font>
    <font>
      <b/>
      <sz val="16"/>
      <color theme="1"/>
      <name val="Arial"/>
      <family val="2"/>
    </font>
    <font>
      <i/>
      <sz val="6"/>
      <color theme="1"/>
      <name val="Arial"/>
      <family val="2"/>
    </font>
    <font>
      <i/>
      <sz val="8"/>
      <color theme="1"/>
      <name val="Arial"/>
      <family val="2"/>
    </font>
    <font>
      <sz val="11"/>
      <color theme="1"/>
      <name val="Times New Roman"/>
      <family val="1"/>
    </font>
    <font>
      <b/>
      <sz val="11"/>
      <color rgb="FF0000FF"/>
      <name val="Times New Roman"/>
      <family val="1"/>
    </font>
    <font>
      <sz val="10"/>
      <color theme="1"/>
      <name val="Times New Roman"/>
      <family val="1"/>
    </font>
    <font>
      <sz val="10"/>
      <name val="Times New Roman"/>
      <family val="1"/>
    </font>
    <font>
      <b/>
      <sz val="9"/>
      <color theme="1"/>
      <name val="Times New Roman"/>
      <family val="1"/>
    </font>
    <font>
      <sz val="7.5"/>
      <color theme="1"/>
      <name val="Arial"/>
      <family val="2"/>
    </font>
    <font>
      <i/>
      <sz val="7"/>
      <color theme="1"/>
      <name val="Arial"/>
      <family val="2"/>
    </font>
    <font>
      <b/>
      <sz val="22"/>
      <color theme="1"/>
      <name val="Arial"/>
      <family val="2"/>
    </font>
    <font>
      <sz val="7"/>
      <color theme="1"/>
      <name val="Arial"/>
      <family val="2"/>
    </font>
  </fonts>
  <fills count="3">
    <fill>
      <patternFill patternType="none"/>
    </fill>
    <fill>
      <patternFill patternType="gray125"/>
    </fill>
    <fill>
      <patternFill patternType="solid">
        <fgColor theme="0" tint="-0.249977111117893"/>
        <bgColor indexed="64"/>
      </patternFill>
    </fill>
  </fills>
  <borders count="40">
    <border>
      <left/>
      <right/>
      <top/>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style="thin">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thin">
        <color indexed="64"/>
      </right>
      <top/>
      <bottom/>
      <diagonal/>
    </border>
    <border>
      <left style="thin">
        <color indexed="64"/>
      </left>
      <right/>
      <top/>
      <bottom/>
      <diagonal/>
    </border>
    <border>
      <left/>
      <right style="medium">
        <color indexed="64"/>
      </right>
      <top/>
      <bottom/>
      <diagonal/>
    </border>
    <border>
      <left style="thin">
        <color indexed="64"/>
      </left>
      <right/>
      <top/>
      <bottom style="medium">
        <color indexed="64"/>
      </bottom>
      <diagonal/>
    </border>
    <border>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medium">
        <color indexed="64"/>
      </bottom>
      <diagonal/>
    </border>
    <border>
      <left style="thin">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right style="medium">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diagonal/>
    </border>
    <border>
      <left/>
      <right style="medium">
        <color indexed="64"/>
      </right>
      <top style="thin">
        <color indexed="64"/>
      </top>
      <bottom/>
      <diagonal/>
    </border>
  </borders>
  <cellStyleXfs count="3">
    <xf numFmtId="0" fontId="0" fillId="0" borderId="0"/>
    <xf numFmtId="0" fontId="1" fillId="0" borderId="0"/>
    <xf numFmtId="9" fontId="1" fillId="0" borderId="0" applyFont="0" applyFill="0" applyBorder="0" applyAlignment="0" applyProtection="0"/>
  </cellStyleXfs>
  <cellXfs count="230">
    <xf numFmtId="0" fontId="0" fillId="0" borderId="0" xfId="0"/>
    <xf numFmtId="0" fontId="2" fillId="0" borderId="0" xfId="1" applyFont="1" applyAlignment="1">
      <alignment vertical="center"/>
    </xf>
    <xf numFmtId="0" fontId="3" fillId="0" borderId="0" xfId="1" applyFont="1" applyAlignment="1">
      <alignment horizontal="center" vertical="center"/>
    </xf>
    <xf numFmtId="0" fontId="3" fillId="0" borderId="0" xfId="1" applyFont="1" applyAlignment="1">
      <alignment vertical="center"/>
    </xf>
    <xf numFmtId="0" fontId="4" fillId="0" borderId="0" xfId="1" applyFont="1" applyAlignment="1">
      <alignment vertical="center"/>
    </xf>
    <xf numFmtId="0" fontId="4" fillId="0" borderId="0" xfId="1" applyFont="1" applyAlignment="1">
      <alignment horizontal="center" vertical="center"/>
    </xf>
    <xf numFmtId="14" fontId="4" fillId="0" borderId="0" xfId="1" applyNumberFormat="1" applyFont="1" applyAlignment="1">
      <alignment horizontal="right" vertical="center"/>
    </xf>
    <xf numFmtId="0" fontId="5" fillId="0" borderId="0" xfId="1" applyFont="1" applyAlignment="1">
      <alignment horizontal="center" vertical="center"/>
    </xf>
    <xf numFmtId="0" fontId="4" fillId="0" borderId="0" xfId="1" applyFont="1" applyAlignment="1">
      <alignment horizontal="right" vertical="center"/>
    </xf>
    <xf numFmtId="0" fontId="6" fillId="0" borderId="0" xfId="1" applyFont="1" applyAlignment="1">
      <alignment horizontal="center" vertical="center"/>
    </xf>
    <xf numFmtId="0" fontId="4" fillId="0" borderId="0" xfId="1" applyFont="1" applyAlignment="1">
      <alignment vertical="top"/>
    </xf>
    <xf numFmtId="0" fontId="4" fillId="0" borderId="1" xfId="1" applyFont="1" applyBorder="1" applyAlignment="1">
      <alignment horizontal="center" vertical="top"/>
    </xf>
    <xf numFmtId="0" fontId="7" fillId="0" borderId="2" xfId="1" applyFont="1" applyBorder="1" applyAlignment="1">
      <alignment vertical="center" wrapText="1"/>
    </xf>
    <xf numFmtId="0" fontId="7" fillId="0" borderId="3" xfId="1" applyFont="1" applyBorder="1" applyAlignment="1">
      <alignment vertical="center"/>
    </xf>
    <xf numFmtId="0" fontId="7" fillId="0" borderId="3" xfId="1" applyFont="1" applyBorder="1" applyAlignment="1">
      <alignment horizontal="center" vertical="center" wrapText="1"/>
    </xf>
    <xf numFmtId="0" fontId="7" fillId="0" borderId="5" xfId="1" applyFont="1" applyBorder="1" applyAlignment="1">
      <alignment vertical="center"/>
    </xf>
    <xf numFmtId="0" fontId="7" fillId="0" borderId="6" xfId="1" applyFont="1" applyBorder="1" applyAlignment="1">
      <alignment vertical="center"/>
    </xf>
    <xf numFmtId="0" fontId="7" fillId="0" borderId="7" xfId="1" applyFont="1" applyBorder="1" applyAlignment="1">
      <alignment vertical="center"/>
    </xf>
    <xf numFmtId="0" fontId="7" fillId="0" borderId="0" xfId="1" applyFont="1" applyAlignment="1">
      <alignment vertical="center"/>
    </xf>
    <xf numFmtId="0" fontId="7" fillId="0" borderId="8" xfId="1" applyFont="1" applyBorder="1" applyAlignment="1">
      <alignment vertical="center"/>
    </xf>
    <xf numFmtId="0" fontId="7" fillId="0" borderId="0" xfId="1" applyFont="1" applyAlignment="1">
      <alignment horizontal="center" vertical="center" wrapText="1"/>
    </xf>
    <xf numFmtId="0" fontId="7" fillId="0" borderId="9" xfId="1" applyFont="1" applyBorder="1" applyAlignment="1">
      <alignment vertical="center"/>
    </xf>
    <xf numFmtId="0" fontId="7" fillId="0" borderId="10" xfId="1" applyFont="1" applyBorder="1" applyAlignment="1">
      <alignment vertical="center"/>
    </xf>
    <xf numFmtId="0" fontId="8" fillId="0" borderId="11" xfId="1" applyFont="1" applyBorder="1" applyAlignment="1">
      <alignment vertical="center"/>
    </xf>
    <xf numFmtId="0" fontId="2" fillId="0" borderId="1" xfId="1" applyFont="1" applyBorder="1" applyAlignment="1">
      <alignment vertical="center"/>
    </xf>
    <xf numFmtId="0" fontId="7" fillId="0" borderId="1" xfId="1" applyFont="1" applyBorder="1" applyAlignment="1">
      <alignment horizontal="center" vertical="center" wrapText="1"/>
    </xf>
    <xf numFmtId="0" fontId="2" fillId="0" borderId="12" xfId="1" applyFont="1" applyBorder="1" applyAlignment="1">
      <alignment vertical="center"/>
    </xf>
    <xf numFmtId="0" fontId="2" fillId="0" borderId="9" xfId="1" applyFont="1" applyBorder="1" applyAlignment="1">
      <alignment vertical="center"/>
    </xf>
    <xf numFmtId="0" fontId="2" fillId="0" borderId="10" xfId="1" applyFont="1" applyBorder="1" applyAlignment="1">
      <alignment vertical="center"/>
    </xf>
    <xf numFmtId="0" fontId="2" fillId="0" borderId="13" xfId="1" applyFont="1" applyBorder="1" applyAlignment="1">
      <alignment vertical="top"/>
    </xf>
    <xf numFmtId="0" fontId="2" fillId="0" borderId="14" xfId="1" applyFont="1" applyBorder="1" applyAlignment="1">
      <alignment vertical="center"/>
    </xf>
    <xf numFmtId="0" fontId="2" fillId="0" borderId="15" xfId="1" applyFont="1" applyBorder="1" applyAlignment="1">
      <alignment vertical="center"/>
    </xf>
    <xf numFmtId="0" fontId="4" fillId="0" borderId="2" xfId="1" applyFont="1" applyBorder="1" applyAlignment="1">
      <alignment horizontal="center" vertical="center"/>
    </xf>
    <xf numFmtId="0" fontId="2" fillId="0" borderId="3" xfId="1" applyFont="1" applyBorder="1" applyAlignment="1">
      <alignment horizontal="center" vertical="center"/>
    </xf>
    <xf numFmtId="0" fontId="2" fillId="0" borderId="3" xfId="1" applyFont="1" applyBorder="1" applyAlignment="1">
      <alignment vertical="center"/>
    </xf>
    <xf numFmtId="0" fontId="2" fillId="0" borderId="3" xfId="1" applyFont="1" applyBorder="1" applyAlignment="1">
      <alignment horizontal="right" vertical="center"/>
    </xf>
    <xf numFmtId="0" fontId="9" fillId="0" borderId="3" xfId="1" applyFont="1" applyBorder="1" applyAlignment="1">
      <alignment horizontal="center" vertical="center"/>
    </xf>
    <xf numFmtId="0" fontId="9" fillId="0" borderId="3" xfId="1" applyFont="1" applyBorder="1" applyAlignment="1">
      <alignment horizontal="left" vertical="center"/>
    </xf>
    <xf numFmtId="0" fontId="9" fillId="0" borderId="6" xfId="1" applyFont="1" applyBorder="1" applyAlignment="1">
      <alignment horizontal="left" vertical="center"/>
    </xf>
    <xf numFmtId="0" fontId="4" fillId="0" borderId="7" xfId="1" applyFont="1" applyBorder="1" applyAlignment="1">
      <alignment horizontal="center" vertical="center"/>
    </xf>
    <xf numFmtId="0" fontId="2" fillId="0" borderId="0" xfId="1" applyFont="1" applyAlignment="1">
      <alignment horizontal="center" vertical="center"/>
    </xf>
    <xf numFmtId="0" fontId="2" fillId="0" borderId="0" xfId="1" applyFont="1" applyAlignment="1">
      <alignment horizontal="right" vertical="center"/>
    </xf>
    <xf numFmtId="0" fontId="2" fillId="0" borderId="16" xfId="1" applyFont="1" applyBorder="1" applyAlignment="1">
      <alignment vertical="center"/>
    </xf>
    <xf numFmtId="0" fontId="2" fillId="0" borderId="17" xfId="1" applyFont="1" applyBorder="1" applyAlignment="1">
      <alignment vertical="center"/>
    </xf>
    <xf numFmtId="0" fontId="2" fillId="0" borderId="18" xfId="1" applyFont="1" applyBorder="1" applyAlignment="1">
      <alignment vertical="center"/>
    </xf>
    <xf numFmtId="0" fontId="9" fillId="0" borderId="0" xfId="1" applyFont="1" applyAlignment="1">
      <alignment horizontal="center" vertical="center"/>
    </xf>
    <xf numFmtId="0" fontId="9" fillId="0" borderId="0" xfId="1" applyFont="1" applyAlignment="1">
      <alignment horizontal="left" vertical="center"/>
    </xf>
    <xf numFmtId="0" fontId="9" fillId="0" borderId="10" xfId="1" applyFont="1" applyBorder="1" applyAlignment="1">
      <alignment horizontal="left" vertical="center"/>
    </xf>
    <xf numFmtId="0" fontId="4" fillId="0" borderId="19" xfId="1" applyFont="1" applyBorder="1" applyAlignment="1">
      <alignment horizontal="center" vertical="center"/>
    </xf>
    <xf numFmtId="0" fontId="2" fillId="0" borderId="1" xfId="1" applyFont="1" applyBorder="1" applyAlignment="1">
      <alignment horizontal="center" vertical="center"/>
    </xf>
    <xf numFmtId="0" fontId="2" fillId="0" borderId="1" xfId="1" applyFont="1" applyBorder="1" applyAlignment="1">
      <alignment horizontal="right" vertical="center"/>
    </xf>
    <xf numFmtId="0" fontId="10" fillId="0" borderId="11" xfId="1" applyFont="1" applyBorder="1" applyAlignment="1">
      <alignment horizontal="center" vertical="top"/>
    </xf>
    <xf numFmtId="0" fontId="10" fillId="0" borderId="20" xfId="1" applyFont="1" applyBorder="1" applyAlignment="1">
      <alignment horizontal="center" vertical="top"/>
    </xf>
    <xf numFmtId="0" fontId="10" fillId="0" borderId="1" xfId="1" applyFont="1" applyBorder="1" applyAlignment="1">
      <alignment horizontal="center" vertical="top"/>
    </xf>
    <xf numFmtId="0" fontId="10" fillId="0" borderId="12" xfId="1" applyFont="1" applyBorder="1" applyAlignment="1">
      <alignment horizontal="center" vertical="top"/>
    </xf>
    <xf numFmtId="0" fontId="9" fillId="0" borderId="1" xfId="1" applyFont="1" applyBorder="1" applyAlignment="1">
      <alignment horizontal="center" vertical="center"/>
    </xf>
    <xf numFmtId="0" fontId="9" fillId="0" borderId="1" xfId="1" applyFont="1" applyBorder="1" applyAlignment="1">
      <alignment horizontal="left" vertical="center"/>
    </xf>
    <xf numFmtId="0" fontId="9" fillId="0" borderId="21" xfId="1" applyFont="1" applyBorder="1" applyAlignment="1">
      <alignment horizontal="left" vertical="center"/>
    </xf>
    <xf numFmtId="14" fontId="3" fillId="0" borderId="0" xfId="1" applyNumberFormat="1" applyFont="1" applyAlignment="1">
      <alignment horizontal="center" vertical="center"/>
    </xf>
    <xf numFmtId="164" fontId="3" fillId="0" borderId="0" xfId="1" applyNumberFormat="1" applyFont="1" applyAlignment="1">
      <alignment vertical="center"/>
    </xf>
    <xf numFmtId="0" fontId="4" fillId="0" borderId="13" xfId="1" applyFont="1" applyBorder="1" applyAlignment="1">
      <alignment horizontal="center" vertical="top"/>
    </xf>
    <xf numFmtId="0" fontId="4" fillId="0" borderId="14" xfId="1" applyFont="1" applyBorder="1" applyAlignment="1">
      <alignment horizontal="center" vertical="top"/>
    </xf>
    <xf numFmtId="0" fontId="4" fillId="0" borderId="15" xfId="1" applyFont="1" applyBorder="1" applyAlignment="1">
      <alignment horizontal="center" vertical="top"/>
    </xf>
    <xf numFmtId="0" fontId="2" fillId="0" borderId="3" xfId="1" applyFont="1" applyBorder="1" applyAlignment="1">
      <alignment horizontal="left" vertical="center"/>
    </xf>
    <xf numFmtId="0" fontId="2" fillId="0" borderId="6" xfId="1" applyFont="1" applyBorder="1" applyAlignment="1">
      <alignment vertical="center"/>
    </xf>
    <xf numFmtId="0" fontId="3" fillId="0" borderId="0" xfId="1" applyFont="1" applyAlignment="1">
      <alignment horizontal="center" vertical="center"/>
    </xf>
    <xf numFmtId="0" fontId="2" fillId="0" borderId="0" xfId="1" applyFont="1" applyAlignment="1">
      <alignment horizontal="left" vertical="center"/>
    </xf>
    <xf numFmtId="0" fontId="2" fillId="2" borderId="22" xfId="1" applyFont="1" applyFill="1" applyBorder="1" applyAlignment="1">
      <alignment vertical="center"/>
    </xf>
    <xf numFmtId="0" fontId="11" fillId="0" borderId="22" xfId="1" applyFont="1" applyBorder="1" applyAlignment="1">
      <alignment horizontal="center" vertical="center"/>
    </xf>
    <xf numFmtId="0" fontId="4" fillId="0" borderId="23" xfId="1" applyFont="1" applyBorder="1" applyAlignment="1">
      <alignment horizontal="center" vertical="center"/>
    </xf>
    <xf numFmtId="0" fontId="2" fillId="0" borderId="24" xfId="1" applyFont="1" applyBorder="1" applyAlignment="1">
      <alignment horizontal="left" vertical="center"/>
    </xf>
    <xf numFmtId="0" fontId="10" fillId="0" borderId="25" xfId="1" applyFont="1" applyBorder="1" applyAlignment="1">
      <alignment horizontal="center" vertical="top"/>
    </xf>
    <xf numFmtId="0" fontId="10" fillId="0" borderId="24" xfId="1" applyFont="1" applyBorder="1" applyAlignment="1">
      <alignment horizontal="center" vertical="top"/>
    </xf>
    <xf numFmtId="0" fontId="2" fillId="2" borderId="25" xfId="1" applyFont="1" applyFill="1" applyBorder="1" applyAlignment="1">
      <alignment horizontal="center" vertical="center"/>
    </xf>
    <xf numFmtId="0" fontId="2" fillId="0" borderId="24" xfId="1" applyFont="1" applyBorder="1" applyAlignment="1">
      <alignment vertical="center"/>
    </xf>
    <xf numFmtId="0" fontId="2" fillId="0" borderId="26" xfId="1" applyFont="1" applyBorder="1" applyAlignment="1">
      <alignment vertical="center"/>
    </xf>
    <xf numFmtId="0" fontId="11" fillId="0" borderId="25" xfId="1" applyFont="1" applyBorder="1" applyAlignment="1">
      <alignment horizontal="center" vertical="center"/>
    </xf>
    <xf numFmtId="0" fontId="4" fillId="0" borderId="7" xfId="1" applyFont="1" applyBorder="1" applyAlignment="1">
      <alignment horizontal="center" vertical="top"/>
    </xf>
    <xf numFmtId="0" fontId="2" fillId="0" borderId="7" xfId="1" applyFont="1" applyBorder="1" applyAlignment="1">
      <alignment vertical="top"/>
    </xf>
    <xf numFmtId="0" fontId="12" fillId="0" borderId="16" xfId="1" applyFont="1" applyBorder="1" applyAlignment="1">
      <alignment horizontal="left" vertical="center" wrapText="1"/>
    </xf>
    <xf numFmtId="0" fontId="12" fillId="0" borderId="17" xfId="1" applyFont="1" applyBorder="1" applyAlignment="1">
      <alignment horizontal="left" vertical="center" wrapText="1"/>
    </xf>
    <xf numFmtId="0" fontId="12" fillId="0" borderId="18" xfId="1" applyFont="1" applyBorder="1" applyAlignment="1">
      <alignment horizontal="left" vertical="center" wrapText="1"/>
    </xf>
    <xf numFmtId="0" fontId="3" fillId="0" borderId="0" xfId="1" applyFont="1" applyAlignment="1">
      <alignment horizontal="left" vertical="center"/>
    </xf>
    <xf numFmtId="0" fontId="12" fillId="0" borderId="27" xfId="1" applyFont="1" applyBorder="1" applyAlignment="1">
      <alignment horizontal="left" vertical="center" wrapText="1"/>
    </xf>
    <xf numFmtId="0" fontId="12" fillId="0" borderId="24" xfId="1" applyFont="1" applyBorder="1" applyAlignment="1">
      <alignment horizontal="left" vertical="center" wrapText="1"/>
    </xf>
    <xf numFmtId="0" fontId="12" fillId="0" borderId="28" xfId="1" applyFont="1" applyBorder="1" applyAlignment="1">
      <alignment horizontal="left" vertical="center" wrapText="1"/>
    </xf>
    <xf numFmtId="0" fontId="4" fillId="0" borderId="0" xfId="1" applyFont="1" applyAlignment="1">
      <alignment horizontal="center" vertical="center"/>
    </xf>
    <xf numFmtId="0" fontId="13" fillId="0" borderId="16" xfId="1" applyFont="1" applyBorder="1" applyAlignment="1">
      <alignment horizontal="left" vertical="center" wrapText="1"/>
    </xf>
    <xf numFmtId="0" fontId="13" fillId="0" borderId="17" xfId="1" applyFont="1" applyBorder="1" applyAlignment="1">
      <alignment horizontal="left" vertical="center" wrapText="1"/>
    </xf>
    <xf numFmtId="0" fontId="13" fillId="0" borderId="18" xfId="1" applyFont="1" applyBorder="1" applyAlignment="1">
      <alignment horizontal="left" vertical="center" wrapText="1"/>
    </xf>
    <xf numFmtId="0" fontId="13" fillId="0" borderId="9" xfId="1" applyFont="1" applyBorder="1" applyAlignment="1">
      <alignment horizontal="left" vertical="center" wrapText="1"/>
    </xf>
    <xf numFmtId="0" fontId="13" fillId="0" borderId="0" xfId="1" applyFont="1" applyAlignment="1">
      <alignment horizontal="left" vertical="center" wrapText="1"/>
    </xf>
    <xf numFmtId="0" fontId="13" fillId="0" borderId="8" xfId="1" applyFont="1" applyBorder="1" applyAlignment="1">
      <alignment horizontal="left" vertical="center" wrapText="1"/>
    </xf>
    <xf numFmtId="0" fontId="10" fillId="0" borderId="9" xfId="1" applyFont="1" applyBorder="1" applyAlignment="1">
      <alignment horizontal="center" vertical="center"/>
    </xf>
    <xf numFmtId="0" fontId="10" fillId="0" borderId="29" xfId="1" applyFont="1" applyBorder="1" applyAlignment="1">
      <alignment horizontal="center" vertical="center"/>
    </xf>
    <xf numFmtId="0" fontId="10" fillId="0" borderId="0" xfId="1" applyFont="1" applyAlignment="1">
      <alignment horizontal="center" vertical="center"/>
    </xf>
    <xf numFmtId="0" fontId="13" fillId="0" borderId="27" xfId="1" applyFont="1" applyBorder="1" applyAlignment="1">
      <alignment horizontal="left" vertical="center" wrapText="1"/>
    </xf>
    <xf numFmtId="0" fontId="13" fillId="0" borderId="24" xfId="1" applyFont="1" applyBorder="1" applyAlignment="1">
      <alignment horizontal="left" vertical="center" wrapText="1"/>
    </xf>
    <xf numFmtId="0" fontId="13" fillId="0" borderId="28" xfId="1" applyFont="1" applyBorder="1" applyAlignment="1">
      <alignment horizontal="left" vertical="center" wrapText="1"/>
    </xf>
    <xf numFmtId="0" fontId="10" fillId="0" borderId="27" xfId="1" applyFont="1" applyBorder="1" applyAlignment="1">
      <alignment horizontal="center" vertical="center"/>
    </xf>
    <xf numFmtId="0" fontId="10" fillId="0" borderId="25" xfId="1" applyFont="1" applyBorder="1" applyAlignment="1">
      <alignment horizontal="center" vertical="center"/>
    </xf>
    <xf numFmtId="0" fontId="10" fillId="0" borderId="24" xfId="1" applyFont="1" applyBorder="1" applyAlignment="1">
      <alignment horizontal="center" vertical="center"/>
    </xf>
    <xf numFmtId="0" fontId="10" fillId="0" borderId="16" xfId="1" applyFont="1" applyBorder="1" applyAlignment="1">
      <alignment horizontal="left" vertical="center" wrapText="1"/>
    </xf>
    <xf numFmtId="0" fontId="10" fillId="0" borderId="17" xfId="1" applyFont="1" applyBorder="1" applyAlignment="1">
      <alignment horizontal="left" vertical="center" wrapText="1"/>
    </xf>
    <xf numFmtId="0" fontId="10" fillId="0" borderId="18" xfId="1" applyFont="1" applyBorder="1" applyAlignment="1">
      <alignment horizontal="left" vertical="center" wrapText="1"/>
    </xf>
    <xf numFmtId="0" fontId="10" fillId="0" borderId="27" xfId="1" applyFont="1" applyBorder="1" applyAlignment="1">
      <alignment horizontal="left" vertical="center" wrapText="1"/>
    </xf>
    <xf numFmtId="0" fontId="10" fillId="0" borderId="24" xfId="1" applyFont="1" applyBorder="1" applyAlignment="1">
      <alignment horizontal="left" vertical="center" wrapText="1"/>
    </xf>
    <xf numFmtId="0" fontId="10" fillId="0" borderId="28" xfId="1" applyFont="1" applyBorder="1" applyAlignment="1">
      <alignment horizontal="left" vertical="center" wrapText="1"/>
    </xf>
    <xf numFmtId="0" fontId="12" fillId="0" borderId="9" xfId="1" applyFont="1" applyBorder="1" applyAlignment="1">
      <alignment horizontal="left" vertical="center" wrapText="1"/>
    </xf>
    <xf numFmtId="0" fontId="12" fillId="0" borderId="0" xfId="1" applyFont="1" applyAlignment="1">
      <alignment horizontal="left" vertical="center" wrapText="1"/>
    </xf>
    <xf numFmtId="0" fontId="12" fillId="0" borderId="8" xfId="1" applyFont="1" applyBorder="1" applyAlignment="1">
      <alignment horizontal="left" vertical="center" wrapText="1"/>
    </xf>
    <xf numFmtId="0" fontId="4" fillId="0" borderId="13" xfId="1" applyFont="1" applyBorder="1" applyAlignment="1">
      <alignment horizontal="center" vertical="center" wrapText="1"/>
    </xf>
    <xf numFmtId="0" fontId="2" fillId="0" borderId="14" xfId="1" applyFont="1" applyBorder="1" applyAlignment="1">
      <alignment horizontal="center" vertical="center" wrapText="1"/>
    </xf>
    <xf numFmtId="0" fontId="2" fillId="0" borderId="15" xfId="1" applyFont="1" applyBorder="1" applyAlignment="1">
      <alignment horizontal="center" vertical="center" wrapText="1"/>
    </xf>
    <xf numFmtId="0" fontId="4" fillId="0" borderId="2" xfId="1" applyFont="1" applyBorder="1" applyAlignment="1">
      <alignment horizontal="center" vertical="center" wrapText="1"/>
    </xf>
    <xf numFmtId="0" fontId="4" fillId="0" borderId="3" xfId="1" applyFont="1" applyBorder="1" applyAlignment="1">
      <alignment horizontal="center" vertical="center" wrapText="1"/>
    </xf>
    <xf numFmtId="0" fontId="4" fillId="0" borderId="4" xfId="1" applyFont="1" applyBorder="1" applyAlignment="1">
      <alignment horizontal="center" vertical="center" wrapText="1"/>
    </xf>
    <xf numFmtId="0" fontId="4" fillId="0" borderId="5" xfId="1" applyFont="1" applyBorder="1" applyAlignment="1">
      <alignment horizontal="center" vertical="center" wrapText="1"/>
    </xf>
    <xf numFmtId="0" fontId="4" fillId="0" borderId="30" xfId="1" applyFont="1" applyBorder="1" applyAlignment="1">
      <alignment horizontal="center" vertical="center" wrapText="1"/>
    </xf>
    <xf numFmtId="0" fontId="4" fillId="0" borderId="31" xfId="1" applyFont="1" applyBorder="1" applyAlignment="1">
      <alignment horizontal="center" vertical="center" wrapText="1"/>
    </xf>
    <xf numFmtId="0" fontId="4" fillId="0" borderId="32" xfId="1" applyFont="1" applyBorder="1" applyAlignment="1">
      <alignment horizontal="center" vertical="center" wrapText="1"/>
    </xf>
    <xf numFmtId="0" fontId="4" fillId="0" borderId="6" xfId="1" applyFont="1" applyBorder="1" applyAlignment="1">
      <alignment horizontal="center" vertical="center" wrapText="1"/>
    </xf>
    <xf numFmtId="0" fontId="4" fillId="0" borderId="7" xfId="1" applyFont="1" applyBorder="1" applyAlignment="1">
      <alignment horizontal="center" vertical="center" wrapText="1"/>
    </xf>
    <xf numFmtId="0" fontId="4" fillId="0" borderId="0" xfId="1" applyFont="1" applyAlignment="1">
      <alignment horizontal="center" vertical="center" wrapText="1"/>
    </xf>
    <xf numFmtId="0" fontId="4" fillId="0" borderId="8" xfId="1" applyFont="1" applyBorder="1" applyAlignment="1">
      <alignment horizontal="center" vertical="center" wrapText="1"/>
    </xf>
    <xf numFmtId="0" fontId="4" fillId="0" borderId="9" xfId="1" applyFont="1" applyBorder="1" applyAlignment="1">
      <alignment horizontal="center" vertical="center" wrapText="1"/>
    </xf>
    <xf numFmtId="0" fontId="4" fillId="0" borderId="16" xfId="1" applyFont="1" applyBorder="1" applyAlignment="1">
      <alignment horizontal="center" vertical="center" wrapText="1"/>
    </xf>
    <xf numFmtId="0" fontId="4" fillId="0" borderId="17" xfId="1" applyFont="1" applyBorder="1" applyAlignment="1">
      <alignment horizontal="center" vertical="center" wrapText="1"/>
    </xf>
    <xf numFmtId="0" fontId="4" fillId="0" borderId="18" xfId="1" applyFont="1" applyBorder="1" applyAlignment="1">
      <alignment horizontal="center" vertical="center" wrapText="1"/>
    </xf>
    <xf numFmtId="0" fontId="4" fillId="0" borderId="10" xfId="1" applyFont="1" applyBorder="1" applyAlignment="1">
      <alignment horizontal="center" vertical="center" wrapText="1"/>
    </xf>
    <xf numFmtId="0" fontId="4" fillId="0" borderId="23" xfId="1" applyFont="1" applyBorder="1" applyAlignment="1">
      <alignment horizontal="center" vertical="center" wrapText="1"/>
    </xf>
    <xf numFmtId="0" fontId="4" fillId="0" borderId="24" xfId="1" applyFont="1" applyBorder="1" applyAlignment="1">
      <alignment horizontal="center" vertical="center" wrapText="1"/>
    </xf>
    <xf numFmtId="0" fontId="4" fillId="0" borderId="28" xfId="1" applyFont="1" applyBorder="1" applyAlignment="1">
      <alignment horizontal="center" vertical="center" wrapText="1"/>
    </xf>
    <xf numFmtId="0" fontId="4" fillId="0" borderId="27" xfId="1" applyFont="1" applyBorder="1" applyAlignment="1">
      <alignment horizontal="center" vertical="center" wrapText="1"/>
    </xf>
    <xf numFmtId="0" fontId="4" fillId="0" borderId="26" xfId="1" applyFont="1" applyBorder="1" applyAlignment="1">
      <alignment horizontal="center" vertical="center" wrapText="1"/>
    </xf>
    <xf numFmtId="0" fontId="12" fillId="0" borderId="16" xfId="1" applyFont="1" applyBorder="1" applyAlignment="1">
      <alignment horizontal="left" vertical="top" wrapText="1"/>
    </xf>
    <xf numFmtId="0" fontId="12" fillId="0" borderId="17" xfId="1" applyFont="1" applyBorder="1" applyAlignment="1">
      <alignment horizontal="left" vertical="top" wrapText="1"/>
    </xf>
    <xf numFmtId="0" fontId="12" fillId="0" borderId="18" xfId="1" applyFont="1" applyBorder="1" applyAlignment="1">
      <alignment horizontal="left" vertical="top" wrapText="1"/>
    </xf>
    <xf numFmtId="0" fontId="3" fillId="0" borderId="33" xfId="0" applyFont="1" applyBorder="1" applyAlignment="1">
      <alignment horizontal="center" vertical="center"/>
    </xf>
    <xf numFmtId="0" fontId="3" fillId="0" borderId="34" xfId="0" applyFont="1" applyBorder="1" applyAlignment="1">
      <alignment horizontal="center" vertical="center"/>
    </xf>
    <xf numFmtId="0" fontId="3" fillId="0" borderId="35" xfId="0" applyFont="1" applyBorder="1" applyAlignment="1">
      <alignment horizontal="center" vertical="center"/>
    </xf>
    <xf numFmtId="40" fontId="3" fillId="0" borderId="33" xfId="1" applyNumberFormat="1" applyFont="1" applyBorder="1" applyAlignment="1">
      <alignment vertical="center"/>
    </xf>
    <xf numFmtId="40" fontId="3" fillId="0" borderId="34" xfId="1" applyNumberFormat="1" applyFont="1" applyBorder="1" applyAlignment="1">
      <alignment vertical="center"/>
    </xf>
    <xf numFmtId="40" fontId="3" fillId="0" borderId="35" xfId="1" applyNumberFormat="1" applyFont="1" applyBorder="1" applyAlignment="1">
      <alignment vertical="center"/>
    </xf>
    <xf numFmtId="40" fontId="3" fillId="0" borderId="36" xfId="1" applyNumberFormat="1" applyFont="1" applyBorder="1" applyAlignment="1">
      <alignment vertical="center"/>
    </xf>
    <xf numFmtId="9" fontId="3" fillId="0" borderId="0" xfId="2" applyFont="1" applyAlignment="1">
      <alignment horizontal="center" vertical="center"/>
    </xf>
    <xf numFmtId="0" fontId="12" fillId="0" borderId="9" xfId="1" applyFont="1" applyBorder="1" applyAlignment="1">
      <alignment horizontal="left" vertical="top" wrapText="1"/>
    </xf>
    <xf numFmtId="0" fontId="12" fillId="0" borderId="0" xfId="1" applyFont="1" applyAlignment="1">
      <alignment horizontal="left" vertical="top" wrapText="1"/>
    </xf>
    <xf numFmtId="0" fontId="12" fillId="0" borderId="8" xfId="1" applyFont="1" applyBorder="1" applyAlignment="1">
      <alignment horizontal="left" vertical="top" wrapText="1"/>
    </xf>
    <xf numFmtId="0" fontId="3" fillId="0" borderId="33" xfId="1" applyFont="1" applyBorder="1" applyAlignment="1">
      <alignment horizontal="center" vertical="center"/>
    </xf>
    <xf numFmtId="0" fontId="3" fillId="0" borderId="34" xfId="1" applyFont="1" applyBorder="1" applyAlignment="1">
      <alignment horizontal="center" vertical="center"/>
    </xf>
    <xf numFmtId="0" fontId="3" fillId="0" borderId="35" xfId="1" applyFont="1" applyBorder="1" applyAlignment="1">
      <alignment horizontal="center" vertical="center"/>
    </xf>
    <xf numFmtId="0" fontId="12" fillId="0" borderId="27" xfId="1" applyFont="1" applyBorder="1" applyAlignment="1">
      <alignment horizontal="left" vertical="top" wrapText="1"/>
    </xf>
    <xf numFmtId="0" fontId="12" fillId="0" borderId="24" xfId="1" applyFont="1" applyBorder="1" applyAlignment="1">
      <alignment horizontal="left" vertical="top" wrapText="1"/>
    </xf>
    <xf numFmtId="0" fontId="12" fillId="0" borderId="28" xfId="1" applyFont="1" applyBorder="1" applyAlignment="1">
      <alignment horizontal="left" vertical="top" wrapText="1"/>
    </xf>
    <xf numFmtId="0" fontId="14" fillId="0" borderId="37" xfId="1" applyFont="1" applyBorder="1" applyAlignment="1">
      <alignment horizontal="left" vertical="center"/>
    </xf>
    <xf numFmtId="0" fontId="14" fillId="0" borderId="34" xfId="1" applyFont="1" applyBorder="1" applyAlignment="1">
      <alignment vertical="center"/>
    </xf>
    <xf numFmtId="0" fontId="14" fillId="0" borderId="35" xfId="1" applyFont="1" applyBorder="1" applyAlignment="1">
      <alignment vertical="center"/>
    </xf>
    <xf numFmtId="0" fontId="3" fillId="0" borderId="34" xfId="1" applyFont="1" applyBorder="1" applyAlignment="1">
      <alignment vertical="center"/>
    </xf>
    <xf numFmtId="0" fontId="3" fillId="0" borderId="35" xfId="1" applyFont="1" applyBorder="1" applyAlignment="1">
      <alignment vertical="center"/>
    </xf>
    <xf numFmtId="0" fontId="4" fillId="0" borderId="37" xfId="1" applyFont="1" applyBorder="1" applyAlignment="1">
      <alignment horizontal="left" vertical="center"/>
    </xf>
    <xf numFmtId="0" fontId="4" fillId="0" borderId="34" xfId="1" applyFont="1" applyBorder="1" applyAlignment="1">
      <alignment horizontal="left" vertical="center"/>
    </xf>
    <xf numFmtId="0" fontId="4" fillId="0" borderId="35" xfId="1" applyFont="1" applyBorder="1" applyAlignment="1">
      <alignment horizontal="left" vertical="center"/>
    </xf>
    <xf numFmtId="0" fontId="2" fillId="0" borderId="33" xfId="1" applyFont="1" applyBorder="1" applyAlignment="1">
      <alignment horizontal="center" vertical="center"/>
    </xf>
    <xf numFmtId="0" fontId="2" fillId="0" borderId="34" xfId="1" applyFont="1" applyBorder="1" applyAlignment="1">
      <alignment horizontal="center" vertical="center"/>
    </xf>
    <xf numFmtId="0" fontId="2" fillId="0" borderId="35" xfId="1" applyFont="1" applyBorder="1" applyAlignment="1">
      <alignment horizontal="center" vertical="center"/>
    </xf>
    <xf numFmtId="40" fontId="14" fillId="0" borderId="33" xfId="1" applyNumberFormat="1" applyFont="1" applyBorder="1" applyAlignment="1">
      <alignment vertical="center"/>
    </xf>
    <xf numFmtId="40" fontId="14" fillId="0" borderId="34" xfId="1" applyNumberFormat="1" applyFont="1" applyBorder="1" applyAlignment="1">
      <alignment vertical="center"/>
    </xf>
    <xf numFmtId="40" fontId="14" fillId="0" borderId="35" xfId="1" applyNumberFormat="1" applyFont="1" applyBorder="1" applyAlignment="1">
      <alignment vertical="center"/>
    </xf>
    <xf numFmtId="40" fontId="14" fillId="0" borderId="36" xfId="1" applyNumberFormat="1" applyFont="1" applyBorder="1" applyAlignment="1">
      <alignment vertical="center"/>
    </xf>
    <xf numFmtId="40" fontId="3" fillId="0" borderId="0" xfId="1" applyNumberFormat="1" applyFont="1" applyAlignment="1">
      <alignment horizontal="center" vertical="center"/>
    </xf>
    <xf numFmtId="0" fontId="4" fillId="0" borderId="38" xfId="1" applyFont="1" applyBorder="1" applyAlignment="1">
      <alignment horizontal="center" vertical="center" wrapText="1"/>
    </xf>
    <xf numFmtId="0" fontId="2" fillId="0" borderId="39" xfId="1" applyFont="1" applyBorder="1" applyAlignment="1">
      <alignment vertical="center"/>
    </xf>
    <xf numFmtId="0" fontId="2" fillId="0" borderId="27" xfId="1" applyFont="1" applyBorder="1" applyAlignment="1">
      <alignment vertical="center"/>
    </xf>
    <xf numFmtId="0" fontId="2" fillId="0" borderId="28" xfId="1" applyFont="1" applyBorder="1" applyAlignment="1">
      <alignment vertical="center"/>
    </xf>
    <xf numFmtId="0" fontId="2" fillId="0" borderId="37" xfId="1" applyFont="1" applyBorder="1" applyAlignment="1">
      <alignment horizontal="center" vertical="top"/>
    </xf>
    <xf numFmtId="0" fontId="2" fillId="0" borderId="34" xfId="1" applyFont="1" applyBorder="1" applyAlignment="1">
      <alignment horizontal="center" vertical="top"/>
    </xf>
    <xf numFmtId="0" fontId="2" fillId="0" borderId="35" xfId="1" applyFont="1" applyBorder="1" applyAlignment="1">
      <alignment horizontal="center" vertical="top"/>
    </xf>
    <xf numFmtId="0" fontId="2" fillId="0" borderId="36" xfId="1" applyFont="1" applyBorder="1" applyAlignment="1">
      <alignment horizontal="center" vertical="center"/>
    </xf>
    <xf numFmtId="0" fontId="2" fillId="0" borderId="37" xfId="1" applyFont="1" applyBorder="1" applyAlignment="1">
      <alignment horizontal="left" vertical="center" wrapText="1"/>
    </xf>
    <xf numFmtId="0" fontId="2" fillId="0" borderId="34" xfId="1" applyFont="1" applyBorder="1" applyAlignment="1">
      <alignment horizontal="left" vertical="center" wrapText="1"/>
    </xf>
    <xf numFmtId="0" fontId="2" fillId="0" borderId="36" xfId="1" applyFont="1" applyBorder="1" applyAlignment="1">
      <alignment horizontal="left" vertical="center" wrapText="1"/>
    </xf>
    <xf numFmtId="0" fontId="4" fillId="0" borderId="38" xfId="1" applyFont="1" applyBorder="1" applyAlignment="1">
      <alignment horizontal="center" wrapText="1"/>
    </xf>
    <xf numFmtId="0" fontId="2" fillId="0" borderId="17" xfId="1" applyFont="1" applyBorder="1" applyAlignment="1">
      <alignment horizontal="center"/>
    </xf>
    <xf numFmtId="0" fontId="2" fillId="0" borderId="39" xfId="1" applyFont="1" applyBorder="1" applyAlignment="1">
      <alignment horizontal="center"/>
    </xf>
    <xf numFmtId="0" fontId="2" fillId="0" borderId="7" xfId="1" applyFont="1" applyBorder="1" applyAlignment="1">
      <alignment horizontal="center"/>
    </xf>
    <xf numFmtId="0" fontId="2" fillId="0" borderId="0" xfId="1" applyFont="1" applyAlignment="1">
      <alignment horizontal="center"/>
    </xf>
    <xf numFmtId="0" fontId="2" fillId="0" borderId="10" xfId="1" applyFont="1" applyBorder="1" applyAlignment="1">
      <alignment horizontal="center"/>
    </xf>
    <xf numFmtId="0" fontId="2" fillId="0" borderId="23" xfId="1" applyFont="1" applyBorder="1" applyAlignment="1">
      <alignment horizontal="center"/>
    </xf>
    <xf numFmtId="0" fontId="2" fillId="0" borderId="24" xfId="1" applyFont="1" applyBorder="1" applyAlignment="1">
      <alignment horizontal="center"/>
    </xf>
    <xf numFmtId="0" fontId="2" fillId="0" borderId="26" xfId="1" applyFont="1" applyBorder="1" applyAlignment="1">
      <alignment horizontal="center"/>
    </xf>
    <xf numFmtId="0" fontId="2" fillId="0" borderId="38" xfId="1" applyFont="1" applyBorder="1" applyAlignment="1">
      <alignment horizontal="center" vertical="top"/>
    </xf>
    <xf numFmtId="0" fontId="2" fillId="0" borderId="17" xfId="1" applyFont="1" applyBorder="1" applyAlignment="1">
      <alignment horizontal="center" vertical="top"/>
    </xf>
    <xf numFmtId="0" fontId="2" fillId="0" borderId="39" xfId="1" applyFont="1" applyBorder="1" applyAlignment="1">
      <alignment horizontal="center" vertical="top"/>
    </xf>
    <xf numFmtId="0" fontId="9" fillId="0" borderId="23" xfId="1" applyFont="1" applyBorder="1" applyAlignment="1">
      <alignment horizontal="center" vertical="top"/>
    </xf>
    <xf numFmtId="0" fontId="9" fillId="0" borderId="24" xfId="1" applyFont="1" applyBorder="1" applyAlignment="1">
      <alignment horizontal="center" vertical="top"/>
    </xf>
    <xf numFmtId="0" fontId="9" fillId="0" borderId="26" xfId="1" applyFont="1" applyBorder="1" applyAlignment="1">
      <alignment horizontal="center" vertical="top"/>
    </xf>
    <xf numFmtId="0" fontId="15" fillId="0" borderId="38" xfId="1" applyFont="1" applyBorder="1" applyAlignment="1">
      <alignment horizontal="center" vertical="top"/>
    </xf>
    <xf numFmtId="0" fontId="15" fillId="0" borderId="17" xfId="1" applyFont="1" applyBorder="1" applyAlignment="1">
      <alignment horizontal="center" vertical="top"/>
    </xf>
    <xf numFmtId="0" fontId="2" fillId="0" borderId="17" xfId="1" applyFont="1" applyBorder="1" applyAlignment="1">
      <alignment vertical="center" wrapText="1"/>
    </xf>
    <xf numFmtId="0" fontId="2" fillId="0" borderId="17" xfId="1" applyFont="1" applyBorder="1" applyAlignment="1">
      <alignment horizontal="left" vertical="center" wrapText="1"/>
    </xf>
    <xf numFmtId="0" fontId="2" fillId="0" borderId="17" xfId="1" applyFont="1" applyBorder="1" applyAlignment="1">
      <alignment horizontal="center" vertical="center"/>
    </xf>
    <xf numFmtId="0" fontId="15" fillId="0" borderId="7" xfId="1" applyFont="1" applyBorder="1" applyAlignment="1">
      <alignment horizontal="center" vertical="top"/>
    </xf>
    <xf numFmtId="0" fontId="15" fillId="0" borderId="0" xfId="1" applyFont="1" applyAlignment="1">
      <alignment horizontal="center" vertical="top"/>
    </xf>
    <xf numFmtId="0" fontId="2" fillId="0" borderId="0" xfId="1" applyFont="1" applyAlignment="1">
      <alignment horizontal="left" vertical="center" wrapText="1"/>
    </xf>
    <xf numFmtId="0" fontId="16" fillId="0" borderId="0" xfId="1" applyFont="1" applyAlignment="1">
      <alignment horizontal="center" vertical="center"/>
    </xf>
    <xf numFmtId="0" fontId="2" fillId="0" borderId="7" xfId="1" applyFont="1" applyBorder="1" applyAlignment="1">
      <alignment horizontal="center" vertical="top"/>
    </xf>
    <xf numFmtId="0" fontId="2" fillId="0" borderId="0" xfId="1" applyFont="1" applyAlignment="1">
      <alignment horizontal="center" vertical="top"/>
    </xf>
    <xf numFmtId="0" fontId="2" fillId="0" borderId="10" xfId="1" applyFont="1" applyBorder="1" applyAlignment="1">
      <alignment horizontal="center" vertical="top"/>
    </xf>
    <xf numFmtId="0" fontId="2" fillId="0" borderId="23" xfId="1" applyFont="1" applyBorder="1" applyAlignment="1">
      <alignment horizontal="center" vertical="top"/>
    </xf>
    <xf numFmtId="0" fontId="2" fillId="0" borderId="24" xfId="1" applyFont="1" applyBorder="1" applyAlignment="1">
      <alignment horizontal="center" vertical="top"/>
    </xf>
    <xf numFmtId="0" fontId="2" fillId="0" borderId="26" xfId="1" applyFont="1" applyBorder="1" applyAlignment="1">
      <alignment horizontal="center" vertical="top"/>
    </xf>
    <xf numFmtId="0" fontId="15" fillId="0" borderId="19" xfId="1" applyFont="1" applyBorder="1" applyAlignment="1">
      <alignment horizontal="center" vertical="top"/>
    </xf>
    <xf numFmtId="0" fontId="15" fillId="0" borderId="1" xfId="1" applyFont="1" applyBorder="1" applyAlignment="1">
      <alignment horizontal="center" vertical="top"/>
    </xf>
    <xf numFmtId="0" fontId="2" fillId="0" borderId="1" xfId="1" applyFont="1" applyBorder="1" applyAlignment="1">
      <alignment horizontal="left" vertical="center" wrapText="1"/>
    </xf>
    <xf numFmtId="0" fontId="16" fillId="0" borderId="1" xfId="1" applyFont="1" applyBorder="1" applyAlignment="1">
      <alignment horizontal="center" vertical="center"/>
    </xf>
    <xf numFmtId="0" fontId="2" fillId="0" borderId="21" xfId="1" applyFont="1" applyBorder="1" applyAlignment="1">
      <alignment vertical="center"/>
    </xf>
    <xf numFmtId="0" fontId="1" fillId="0" borderId="0" xfId="1"/>
    <xf numFmtId="0" fontId="2" fillId="0" borderId="19" xfId="1" applyFont="1" applyBorder="1" applyAlignment="1">
      <alignment vertical="center"/>
    </xf>
    <xf numFmtId="0" fontId="2" fillId="0" borderId="1" xfId="1" applyFont="1" applyBorder="1" applyAlignment="1">
      <alignment vertical="center"/>
    </xf>
    <xf numFmtId="0" fontId="2" fillId="0" borderId="12" xfId="1" applyFont="1" applyBorder="1" applyAlignment="1">
      <alignment vertical="center"/>
    </xf>
    <xf numFmtId="0" fontId="7" fillId="0" borderId="3" xfId="1" applyFont="1" applyBorder="1" applyAlignment="1">
      <alignment vertical="center" wrapText="1"/>
    </xf>
    <xf numFmtId="0" fontId="7" fillId="0" borderId="4" xfId="1" applyFont="1" applyBorder="1" applyAlignment="1">
      <alignment vertical="center" wrapText="1"/>
    </xf>
    <xf numFmtId="0" fontId="2" fillId="0" borderId="3" xfId="1" applyFont="1" applyBorder="1" applyAlignment="1">
      <alignment horizontal="center" vertical="center" wrapText="1"/>
    </xf>
    <xf numFmtId="0" fontId="2" fillId="0" borderId="0" xfId="1" applyFont="1" applyAlignment="1">
      <alignment horizontal="center" vertical="center" wrapText="1"/>
    </xf>
    <xf numFmtId="0" fontId="18" fillId="0" borderId="0" xfId="1" applyFont="1" applyAlignment="1">
      <alignment horizontal="center" vertical="center" wrapText="1"/>
    </xf>
    <xf numFmtId="0" fontId="18" fillId="0" borderId="0" xfId="1" applyFont="1" applyAlignment="1">
      <alignment horizontal="center" vertical="center"/>
    </xf>
    <xf numFmtId="0" fontId="18" fillId="0" borderId="1" xfId="1" applyFont="1" applyBorder="1" applyAlignment="1">
      <alignment horizontal="center" vertical="center"/>
    </xf>
    <xf numFmtId="0" fontId="2" fillId="0" borderId="1" xfId="1" applyFont="1" applyBorder="1" applyAlignment="1">
      <alignment horizontal="left" vertical="center" indent="7"/>
    </xf>
    <xf numFmtId="0" fontId="17" fillId="0" borderId="0" xfId="1" applyFont="1" applyAlignment="1">
      <alignment horizontal="center" vertical="center"/>
    </xf>
  </cellXfs>
  <cellStyles count="3">
    <cellStyle name="Normal" xfId="0" builtinId="0"/>
    <cellStyle name="Normal 3" xfId="1" xr:uid="{B299AA13-549A-464D-B0F6-B8BD0D3B4CB3}"/>
    <cellStyle name="Percent 3" xfId="2" xr:uid="{0D1BED1A-32ED-4F4C-824C-282406CBFF8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13</xdr:col>
      <xdr:colOff>68396</xdr:colOff>
      <xdr:row>0</xdr:row>
      <xdr:rowOff>26724</xdr:rowOff>
    </xdr:from>
    <xdr:to>
      <xdr:col>16</xdr:col>
      <xdr:colOff>39821</xdr:colOff>
      <xdr:row>2</xdr:row>
      <xdr:rowOff>99060</xdr:rowOff>
    </xdr:to>
    <xdr:pic>
      <xdr:nvPicPr>
        <xdr:cNvPr id="4" name="Picture 232">
          <a:extLst>
            <a:ext uri="{FF2B5EF4-FFF2-40B4-BE49-F238E27FC236}">
              <a16:creationId xmlns:a16="http://schemas.microsoft.com/office/drawing/2014/main" id="{D0033DD6-898E-44D2-A7E7-31A73C1E01CF}"/>
            </a:ext>
          </a:extLst>
        </xdr:cNvPr>
        <xdr:cNvPicPr>
          <a:picLocks noChangeAspect="1" noChangeArrowheads="1"/>
        </xdr:cNvPicPr>
      </xdr:nvPicPr>
      <xdr:blipFill>
        <a:blip xmlns:r="http://schemas.openxmlformats.org/officeDocument/2006/relationships" r:embed="rId1" cstate="print">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45836" y="26724"/>
          <a:ext cx="520065" cy="438096"/>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7226</xdr:colOff>
      <xdr:row>27</xdr:row>
      <xdr:rowOff>9525</xdr:rowOff>
    </xdr:from>
    <xdr:to>
      <xdr:col>40</xdr:col>
      <xdr:colOff>19050</xdr:colOff>
      <xdr:row>28</xdr:row>
      <xdr:rowOff>104775</xdr:rowOff>
    </xdr:to>
    <xdr:sp macro="" textlink="">
      <xdr:nvSpPr>
        <xdr:cNvPr id="10" name="Text Box 2">
          <a:extLst>
            <a:ext uri="{FF2B5EF4-FFF2-40B4-BE49-F238E27FC236}">
              <a16:creationId xmlns:a16="http://schemas.microsoft.com/office/drawing/2014/main" id="{F4B7A3A4-C2BC-454A-A0B2-BC0599DADC83}"/>
            </a:ext>
          </a:extLst>
        </xdr:cNvPr>
        <xdr:cNvSpPr txBox="1">
          <a:spLocks noChangeArrowheads="1"/>
        </xdr:cNvSpPr>
      </xdr:nvSpPr>
      <xdr:spPr bwMode="auto">
        <a:xfrm>
          <a:off x="190106" y="2943225"/>
          <a:ext cx="7174624" cy="224790"/>
        </a:xfrm>
        <a:prstGeom prst="rect">
          <a:avLst/>
        </a:prstGeom>
        <a:solidFill>
          <a:sysClr val="window" lastClr="FFFFFF"/>
        </a:solid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lientData/>
  </xdr:twoCellAnchor>
  <xdr:twoCellAnchor>
    <xdr:from>
      <xdr:col>32</xdr:col>
      <xdr:colOff>77702</xdr:colOff>
      <xdr:row>71</xdr:row>
      <xdr:rowOff>34648</xdr:rowOff>
    </xdr:from>
    <xdr:to>
      <xdr:col>41</xdr:col>
      <xdr:colOff>940</xdr:colOff>
      <xdr:row>72</xdr:row>
      <xdr:rowOff>116103</xdr:rowOff>
    </xdr:to>
    <xdr:grpSp>
      <xdr:nvGrpSpPr>
        <xdr:cNvPr id="11" name="Group 10">
          <a:extLst>
            <a:ext uri="{FF2B5EF4-FFF2-40B4-BE49-F238E27FC236}">
              <a16:creationId xmlns:a16="http://schemas.microsoft.com/office/drawing/2014/main" id="{2384071D-0B71-4E6E-AB10-B4B2D726FBC1}"/>
            </a:ext>
          </a:extLst>
        </xdr:cNvPr>
        <xdr:cNvGrpSpPr/>
      </xdr:nvGrpSpPr>
      <xdr:grpSpPr>
        <a:xfrm>
          <a:off x="6019763" y="9740527"/>
          <a:ext cx="1462632" cy="220000"/>
          <a:chOff x="198045" y="3663821"/>
          <a:chExt cx="1310870" cy="227822"/>
        </a:xfrm>
      </xdr:grpSpPr>
      <xdr:grpSp>
        <xdr:nvGrpSpPr>
          <xdr:cNvPr id="12" name="Group 11">
            <a:extLst>
              <a:ext uri="{FF2B5EF4-FFF2-40B4-BE49-F238E27FC236}">
                <a16:creationId xmlns:a16="http://schemas.microsoft.com/office/drawing/2014/main" id="{2B2CEDFB-14EE-2711-DF53-8C7DBB0474A7}"/>
              </a:ext>
            </a:extLst>
          </xdr:cNvPr>
          <xdr:cNvGrpSpPr/>
        </xdr:nvGrpSpPr>
        <xdr:grpSpPr>
          <a:xfrm>
            <a:off x="198045" y="3663821"/>
            <a:ext cx="655434" cy="227822"/>
            <a:chOff x="1509155" y="1738004"/>
            <a:chExt cx="909204" cy="228600"/>
          </a:xfrm>
          <a:solidFill>
            <a:sysClr val="window" lastClr="FFFFFF"/>
          </a:solidFill>
        </xdr:grpSpPr>
        <xdr:sp macro="" textlink="">
          <xdr:nvSpPr>
            <xdr:cNvPr id="18" name="Text Box 2">
              <a:extLst>
                <a:ext uri="{FF2B5EF4-FFF2-40B4-BE49-F238E27FC236}">
                  <a16:creationId xmlns:a16="http://schemas.microsoft.com/office/drawing/2014/main" id="{3A49087A-9528-CDDF-3897-22A0C3A69F7E}"/>
                </a:ext>
              </a:extLst>
            </xdr:cNvPr>
            <xdr:cNvSpPr txBox="1">
              <a:spLocks noChangeArrowheads="1"/>
            </xdr:cNvSpPr>
          </xdr:nvSpPr>
          <xdr:spPr bwMode="auto">
            <a:xfrm>
              <a:off x="1509155" y="1738004"/>
              <a:ext cx="909204" cy="228600"/>
            </a:xfrm>
            <a:prstGeom prst="rect">
              <a:avLst/>
            </a:prstGeom>
            <a:grp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xnSp macro="">
          <xdr:nvCxnSpPr>
            <xdr:cNvPr id="19" name="Straight Connector 18">
              <a:extLst>
                <a:ext uri="{FF2B5EF4-FFF2-40B4-BE49-F238E27FC236}">
                  <a16:creationId xmlns:a16="http://schemas.microsoft.com/office/drawing/2014/main" id="{D54F4FC8-38CE-2C58-5F80-BE90074C992B}"/>
                </a:ext>
              </a:extLst>
            </xdr:cNvPr>
            <xdr:cNvCxnSpPr/>
          </xdr:nvCxnSpPr>
          <xdr:spPr>
            <a:xfrm>
              <a:off x="1731820" y="1874262"/>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20" name="Straight Connector 19">
              <a:extLst>
                <a:ext uri="{FF2B5EF4-FFF2-40B4-BE49-F238E27FC236}">
                  <a16:creationId xmlns:a16="http://schemas.microsoft.com/office/drawing/2014/main" id="{1AAB208D-BFB5-FCFA-FA0C-7EEC1E33E2C5}"/>
                </a:ext>
              </a:extLst>
            </xdr:cNvPr>
            <xdr:cNvCxnSpPr>
              <a:stCxn id="18" idx="0"/>
            </xdr:cNvCxnSpPr>
          </xdr:nvCxnSpPr>
          <xdr:spPr>
            <a:xfrm>
              <a:off x="1963757" y="1738004"/>
              <a:ext cx="3088" cy="22860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21" name="Straight Connector 20">
              <a:extLst>
                <a:ext uri="{FF2B5EF4-FFF2-40B4-BE49-F238E27FC236}">
                  <a16:creationId xmlns:a16="http://schemas.microsoft.com/office/drawing/2014/main" id="{319AD90F-E355-5880-BA9E-BB122674F20A}"/>
                </a:ext>
              </a:extLst>
            </xdr:cNvPr>
            <xdr:cNvCxnSpPr/>
          </xdr:nvCxnSpPr>
          <xdr:spPr>
            <a:xfrm>
              <a:off x="2201880" y="1874257"/>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grpSp>
      <xdr:grpSp>
        <xdr:nvGrpSpPr>
          <xdr:cNvPr id="13" name="Group 12">
            <a:extLst>
              <a:ext uri="{FF2B5EF4-FFF2-40B4-BE49-F238E27FC236}">
                <a16:creationId xmlns:a16="http://schemas.microsoft.com/office/drawing/2014/main" id="{059256F6-F832-A894-D00F-949ED7EAD1A3}"/>
              </a:ext>
            </a:extLst>
          </xdr:cNvPr>
          <xdr:cNvGrpSpPr/>
        </xdr:nvGrpSpPr>
        <xdr:grpSpPr>
          <a:xfrm>
            <a:off x="853481" y="3663821"/>
            <a:ext cx="655434" cy="227822"/>
            <a:chOff x="1509155" y="1738004"/>
            <a:chExt cx="909204" cy="228600"/>
          </a:xfrm>
          <a:solidFill>
            <a:sysClr val="window" lastClr="FFFFFF"/>
          </a:solidFill>
        </xdr:grpSpPr>
        <xdr:sp macro="" textlink="">
          <xdr:nvSpPr>
            <xdr:cNvPr id="14" name="Text Box 2">
              <a:extLst>
                <a:ext uri="{FF2B5EF4-FFF2-40B4-BE49-F238E27FC236}">
                  <a16:creationId xmlns:a16="http://schemas.microsoft.com/office/drawing/2014/main" id="{46E2FDFE-1C94-1E16-C5EC-6F8758EADCA0}"/>
                </a:ext>
              </a:extLst>
            </xdr:cNvPr>
            <xdr:cNvSpPr txBox="1">
              <a:spLocks noChangeArrowheads="1"/>
            </xdr:cNvSpPr>
          </xdr:nvSpPr>
          <xdr:spPr bwMode="auto">
            <a:xfrm>
              <a:off x="1509155" y="1738004"/>
              <a:ext cx="909204" cy="228600"/>
            </a:xfrm>
            <a:prstGeom prst="rect">
              <a:avLst/>
            </a:prstGeom>
            <a:grp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xnSp macro="">
          <xdr:nvCxnSpPr>
            <xdr:cNvPr id="15" name="Straight Connector 14">
              <a:extLst>
                <a:ext uri="{FF2B5EF4-FFF2-40B4-BE49-F238E27FC236}">
                  <a16:creationId xmlns:a16="http://schemas.microsoft.com/office/drawing/2014/main" id="{2511C07A-FD15-99E0-EDDD-19A647670C74}"/>
                </a:ext>
              </a:extLst>
            </xdr:cNvPr>
            <xdr:cNvCxnSpPr/>
          </xdr:nvCxnSpPr>
          <xdr:spPr>
            <a:xfrm>
              <a:off x="1731820" y="1874262"/>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16" name="Straight Connector 15">
              <a:extLst>
                <a:ext uri="{FF2B5EF4-FFF2-40B4-BE49-F238E27FC236}">
                  <a16:creationId xmlns:a16="http://schemas.microsoft.com/office/drawing/2014/main" id="{CC8D19E8-A00E-E7CF-97E9-7C0D46BDC887}"/>
                </a:ext>
              </a:extLst>
            </xdr:cNvPr>
            <xdr:cNvCxnSpPr/>
          </xdr:nvCxnSpPr>
          <xdr:spPr>
            <a:xfrm>
              <a:off x="1963756" y="1873938"/>
              <a:ext cx="3088" cy="91752"/>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17" name="Straight Connector 16">
              <a:extLst>
                <a:ext uri="{FF2B5EF4-FFF2-40B4-BE49-F238E27FC236}">
                  <a16:creationId xmlns:a16="http://schemas.microsoft.com/office/drawing/2014/main" id="{E3C87051-DFB8-9769-40F8-2DFEB5F28242}"/>
                </a:ext>
              </a:extLst>
            </xdr:cNvPr>
            <xdr:cNvCxnSpPr/>
          </xdr:nvCxnSpPr>
          <xdr:spPr>
            <a:xfrm>
              <a:off x="2201880" y="1874257"/>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grpSp>
    </xdr:grpSp>
    <xdr:clientData/>
  </xdr:twoCellAnchor>
  <xdr:twoCellAnchor>
    <xdr:from>
      <xdr:col>20</xdr:col>
      <xdr:colOff>109607</xdr:colOff>
      <xdr:row>71</xdr:row>
      <xdr:rowOff>34645</xdr:rowOff>
    </xdr:from>
    <xdr:to>
      <xdr:col>27</xdr:col>
      <xdr:colOff>161878</xdr:colOff>
      <xdr:row>72</xdr:row>
      <xdr:rowOff>116101</xdr:rowOff>
    </xdr:to>
    <xdr:grpSp>
      <xdr:nvGrpSpPr>
        <xdr:cNvPr id="22" name="Group 21">
          <a:extLst>
            <a:ext uri="{FF2B5EF4-FFF2-40B4-BE49-F238E27FC236}">
              <a16:creationId xmlns:a16="http://schemas.microsoft.com/office/drawing/2014/main" id="{69000AFA-81D4-498A-96AE-98B1DACEAFAD}"/>
            </a:ext>
          </a:extLst>
        </xdr:cNvPr>
        <xdr:cNvGrpSpPr/>
      </xdr:nvGrpSpPr>
      <xdr:grpSpPr>
        <a:xfrm>
          <a:off x="3834940" y="9740524"/>
          <a:ext cx="1345362" cy="220001"/>
          <a:chOff x="198045" y="3663821"/>
          <a:chExt cx="1310870" cy="227822"/>
        </a:xfrm>
      </xdr:grpSpPr>
      <xdr:grpSp>
        <xdr:nvGrpSpPr>
          <xdr:cNvPr id="23" name="Group 22">
            <a:extLst>
              <a:ext uri="{FF2B5EF4-FFF2-40B4-BE49-F238E27FC236}">
                <a16:creationId xmlns:a16="http://schemas.microsoft.com/office/drawing/2014/main" id="{258D0C51-D67A-71C3-2144-070BCA61D628}"/>
              </a:ext>
            </a:extLst>
          </xdr:cNvPr>
          <xdr:cNvGrpSpPr/>
        </xdr:nvGrpSpPr>
        <xdr:grpSpPr>
          <a:xfrm>
            <a:off x="198045" y="3663821"/>
            <a:ext cx="655434" cy="227822"/>
            <a:chOff x="1509155" y="1738004"/>
            <a:chExt cx="909204" cy="228600"/>
          </a:xfrm>
          <a:solidFill>
            <a:sysClr val="window" lastClr="FFFFFF"/>
          </a:solidFill>
        </xdr:grpSpPr>
        <xdr:sp macro="" textlink="">
          <xdr:nvSpPr>
            <xdr:cNvPr id="29" name="Text Box 2">
              <a:extLst>
                <a:ext uri="{FF2B5EF4-FFF2-40B4-BE49-F238E27FC236}">
                  <a16:creationId xmlns:a16="http://schemas.microsoft.com/office/drawing/2014/main" id="{4BFA3213-58D7-2B0A-B006-A1A3D5A6F8B6}"/>
                </a:ext>
              </a:extLst>
            </xdr:cNvPr>
            <xdr:cNvSpPr txBox="1">
              <a:spLocks noChangeArrowheads="1"/>
            </xdr:cNvSpPr>
          </xdr:nvSpPr>
          <xdr:spPr bwMode="auto">
            <a:xfrm>
              <a:off x="1509155" y="1738004"/>
              <a:ext cx="909204" cy="228600"/>
            </a:xfrm>
            <a:prstGeom prst="rect">
              <a:avLst/>
            </a:prstGeom>
            <a:grp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xnSp macro="">
          <xdr:nvCxnSpPr>
            <xdr:cNvPr id="30" name="Straight Connector 29">
              <a:extLst>
                <a:ext uri="{FF2B5EF4-FFF2-40B4-BE49-F238E27FC236}">
                  <a16:creationId xmlns:a16="http://schemas.microsoft.com/office/drawing/2014/main" id="{4260B3FC-5A7B-7224-5A71-1341B45D1EF3}"/>
                </a:ext>
              </a:extLst>
            </xdr:cNvPr>
            <xdr:cNvCxnSpPr/>
          </xdr:nvCxnSpPr>
          <xdr:spPr>
            <a:xfrm>
              <a:off x="1731820" y="1874262"/>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31" name="Straight Connector 30">
              <a:extLst>
                <a:ext uri="{FF2B5EF4-FFF2-40B4-BE49-F238E27FC236}">
                  <a16:creationId xmlns:a16="http://schemas.microsoft.com/office/drawing/2014/main" id="{27F328E1-450D-358C-F815-2CCF3F8422B4}"/>
                </a:ext>
              </a:extLst>
            </xdr:cNvPr>
            <xdr:cNvCxnSpPr>
              <a:stCxn id="29" idx="0"/>
            </xdr:cNvCxnSpPr>
          </xdr:nvCxnSpPr>
          <xdr:spPr>
            <a:xfrm>
              <a:off x="1963757" y="1738004"/>
              <a:ext cx="3088" cy="22860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32" name="Straight Connector 31">
              <a:extLst>
                <a:ext uri="{FF2B5EF4-FFF2-40B4-BE49-F238E27FC236}">
                  <a16:creationId xmlns:a16="http://schemas.microsoft.com/office/drawing/2014/main" id="{EAD89E74-E071-0DA2-71C0-0AAC6103E25B}"/>
                </a:ext>
              </a:extLst>
            </xdr:cNvPr>
            <xdr:cNvCxnSpPr/>
          </xdr:nvCxnSpPr>
          <xdr:spPr>
            <a:xfrm>
              <a:off x="2201880" y="1874257"/>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grpSp>
      <xdr:grpSp>
        <xdr:nvGrpSpPr>
          <xdr:cNvPr id="24" name="Group 23">
            <a:extLst>
              <a:ext uri="{FF2B5EF4-FFF2-40B4-BE49-F238E27FC236}">
                <a16:creationId xmlns:a16="http://schemas.microsoft.com/office/drawing/2014/main" id="{C29D2879-3583-4E2E-517A-22CAC9DD3159}"/>
              </a:ext>
            </a:extLst>
          </xdr:cNvPr>
          <xdr:cNvGrpSpPr/>
        </xdr:nvGrpSpPr>
        <xdr:grpSpPr>
          <a:xfrm>
            <a:off x="853481" y="3663821"/>
            <a:ext cx="655434" cy="227822"/>
            <a:chOff x="1509155" y="1738004"/>
            <a:chExt cx="909204" cy="228600"/>
          </a:xfrm>
          <a:solidFill>
            <a:sysClr val="window" lastClr="FFFFFF"/>
          </a:solidFill>
        </xdr:grpSpPr>
        <xdr:sp macro="" textlink="">
          <xdr:nvSpPr>
            <xdr:cNvPr id="25" name="Text Box 2">
              <a:extLst>
                <a:ext uri="{FF2B5EF4-FFF2-40B4-BE49-F238E27FC236}">
                  <a16:creationId xmlns:a16="http://schemas.microsoft.com/office/drawing/2014/main" id="{7D15266B-297D-7843-BB8A-86B754FA5621}"/>
                </a:ext>
              </a:extLst>
            </xdr:cNvPr>
            <xdr:cNvSpPr txBox="1">
              <a:spLocks noChangeArrowheads="1"/>
            </xdr:cNvSpPr>
          </xdr:nvSpPr>
          <xdr:spPr bwMode="auto">
            <a:xfrm>
              <a:off x="1509155" y="1738004"/>
              <a:ext cx="909204" cy="228600"/>
            </a:xfrm>
            <a:prstGeom prst="rect">
              <a:avLst/>
            </a:prstGeom>
            <a:grp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xnSp macro="">
          <xdr:nvCxnSpPr>
            <xdr:cNvPr id="26" name="Straight Connector 25">
              <a:extLst>
                <a:ext uri="{FF2B5EF4-FFF2-40B4-BE49-F238E27FC236}">
                  <a16:creationId xmlns:a16="http://schemas.microsoft.com/office/drawing/2014/main" id="{F7763631-5202-C66F-D4F2-CA4F629EF590}"/>
                </a:ext>
              </a:extLst>
            </xdr:cNvPr>
            <xdr:cNvCxnSpPr/>
          </xdr:nvCxnSpPr>
          <xdr:spPr>
            <a:xfrm>
              <a:off x="1731820" y="1874262"/>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27" name="Straight Connector 26">
              <a:extLst>
                <a:ext uri="{FF2B5EF4-FFF2-40B4-BE49-F238E27FC236}">
                  <a16:creationId xmlns:a16="http://schemas.microsoft.com/office/drawing/2014/main" id="{C6883621-B086-692B-B848-4B5BA9375F72}"/>
                </a:ext>
              </a:extLst>
            </xdr:cNvPr>
            <xdr:cNvCxnSpPr/>
          </xdr:nvCxnSpPr>
          <xdr:spPr>
            <a:xfrm>
              <a:off x="1963756" y="1873938"/>
              <a:ext cx="3088" cy="91752"/>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28" name="Straight Connector 27">
              <a:extLst>
                <a:ext uri="{FF2B5EF4-FFF2-40B4-BE49-F238E27FC236}">
                  <a16:creationId xmlns:a16="http://schemas.microsoft.com/office/drawing/2014/main" id="{184DBF52-EC88-B48A-00AE-29FB1AEC48B6}"/>
                </a:ext>
              </a:extLst>
            </xdr:cNvPr>
            <xdr:cNvCxnSpPr/>
          </xdr:nvCxnSpPr>
          <xdr:spPr>
            <a:xfrm>
              <a:off x="2201880" y="1874257"/>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grpSp>
    </xdr:grpSp>
    <xdr:clientData/>
  </xdr:twoCellAnchor>
  <xdr:twoCellAnchor>
    <xdr:from>
      <xdr:col>8</xdr:col>
      <xdr:colOff>25260</xdr:colOff>
      <xdr:row>71</xdr:row>
      <xdr:rowOff>34646</xdr:rowOff>
    </xdr:from>
    <xdr:to>
      <xdr:col>16</xdr:col>
      <xdr:colOff>118458</xdr:colOff>
      <xdr:row>72</xdr:row>
      <xdr:rowOff>118347</xdr:rowOff>
    </xdr:to>
    <xdr:sp macro="" textlink="">
      <xdr:nvSpPr>
        <xdr:cNvPr id="33" name="Text Box 2">
          <a:extLst>
            <a:ext uri="{FF2B5EF4-FFF2-40B4-BE49-F238E27FC236}">
              <a16:creationId xmlns:a16="http://schemas.microsoft.com/office/drawing/2014/main" id="{75A9BDCF-E43C-4E81-BDB4-C652351D6C25}"/>
            </a:ext>
          </a:extLst>
        </xdr:cNvPr>
        <xdr:cNvSpPr txBox="1">
          <a:spLocks noChangeArrowheads="1"/>
        </xdr:cNvSpPr>
      </xdr:nvSpPr>
      <xdr:spPr bwMode="auto">
        <a:xfrm>
          <a:off x="1488300" y="9651086"/>
          <a:ext cx="1556238" cy="220861"/>
        </a:xfrm>
        <a:prstGeom prst="rect">
          <a:avLst/>
        </a:prstGeom>
        <a:solidFill>
          <a:sysClr val="window" lastClr="FFFFFF"/>
        </a:solid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lientData/>
  </xdr:twoCellAnchor>
  <xdr:twoCellAnchor>
    <xdr:from>
      <xdr:col>32</xdr:col>
      <xdr:colOff>78828</xdr:colOff>
      <xdr:row>79</xdr:row>
      <xdr:rowOff>34646</xdr:rowOff>
    </xdr:from>
    <xdr:to>
      <xdr:col>41</xdr:col>
      <xdr:colOff>2066</xdr:colOff>
      <xdr:row>80</xdr:row>
      <xdr:rowOff>116103</xdr:rowOff>
    </xdr:to>
    <xdr:grpSp>
      <xdr:nvGrpSpPr>
        <xdr:cNvPr id="34" name="Group 33">
          <a:extLst>
            <a:ext uri="{FF2B5EF4-FFF2-40B4-BE49-F238E27FC236}">
              <a16:creationId xmlns:a16="http://schemas.microsoft.com/office/drawing/2014/main" id="{1455CD66-49A8-476C-ADED-C839759AD984}"/>
            </a:ext>
          </a:extLst>
        </xdr:cNvPr>
        <xdr:cNvGrpSpPr/>
      </xdr:nvGrpSpPr>
      <xdr:grpSpPr>
        <a:xfrm>
          <a:off x="6020889" y="10802707"/>
          <a:ext cx="1462632" cy="220002"/>
          <a:chOff x="198045" y="3663821"/>
          <a:chExt cx="1310870" cy="227822"/>
        </a:xfrm>
      </xdr:grpSpPr>
      <xdr:grpSp>
        <xdr:nvGrpSpPr>
          <xdr:cNvPr id="35" name="Group 34">
            <a:extLst>
              <a:ext uri="{FF2B5EF4-FFF2-40B4-BE49-F238E27FC236}">
                <a16:creationId xmlns:a16="http://schemas.microsoft.com/office/drawing/2014/main" id="{BCBDD6B8-F0DB-C184-EC8A-A74D3E22BCA4}"/>
              </a:ext>
            </a:extLst>
          </xdr:cNvPr>
          <xdr:cNvGrpSpPr/>
        </xdr:nvGrpSpPr>
        <xdr:grpSpPr>
          <a:xfrm>
            <a:off x="198045" y="3663821"/>
            <a:ext cx="655434" cy="227822"/>
            <a:chOff x="1509155" y="1738004"/>
            <a:chExt cx="909204" cy="228600"/>
          </a:xfrm>
          <a:solidFill>
            <a:sysClr val="window" lastClr="FFFFFF"/>
          </a:solidFill>
        </xdr:grpSpPr>
        <xdr:sp macro="" textlink="">
          <xdr:nvSpPr>
            <xdr:cNvPr id="41" name="Text Box 2">
              <a:extLst>
                <a:ext uri="{FF2B5EF4-FFF2-40B4-BE49-F238E27FC236}">
                  <a16:creationId xmlns:a16="http://schemas.microsoft.com/office/drawing/2014/main" id="{D168804A-E9AB-E8EC-DBAB-B56B5A88F6B9}"/>
                </a:ext>
              </a:extLst>
            </xdr:cNvPr>
            <xdr:cNvSpPr txBox="1">
              <a:spLocks noChangeArrowheads="1"/>
            </xdr:cNvSpPr>
          </xdr:nvSpPr>
          <xdr:spPr bwMode="auto">
            <a:xfrm>
              <a:off x="1509155" y="1738004"/>
              <a:ext cx="909204" cy="228600"/>
            </a:xfrm>
            <a:prstGeom prst="rect">
              <a:avLst/>
            </a:prstGeom>
            <a:grp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xnSp macro="">
          <xdr:nvCxnSpPr>
            <xdr:cNvPr id="42" name="Straight Connector 41">
              <a:extLst>
                <a:ext uri="{FF2B5EF4-FFF2-40B4-BE49-F238E27FC236}">
                  <a16:creationId xmlns:a16="http://schemas.microsoft.com/office/drawing/2014/main" id="{AAD6B3DD-E192-2D43-E9C7-19D6EBB10476}"/>
                </a:ext>
              </a:extLst>
            </xdr:cNvPr>
            <xdr:cNvCxnSpPr/>
          </xdr:nvCxnSpPr>
          <xdr:spPr>
            <a:xfrm>
              <a:off x="1731820" y="1874262"/>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43" name="Straight Connector 42">
              <a:extLst>
                <a:ext uri="{FF2B5EF4-FFF2-40B4-BE49-F238E27FC236}">
                  <a16:creationId xmlns:a16="http://schemas.microsoft.com/office/drawing/2014/main" id="{C687755A-48DF-1705-21CC-AE9DC3EF8DB9}"/>
                </a:ext>
              </a:extLst>
            </xdr:cNvPr>
            <xdr:cNvCxnSpPr>
              <a:stCxn id="41" idx="0"/>
            </xdr:cNvCxnSpPr>
          </xdr:nvCxnSpPr>
          <xdr:spPr>
            <a:xfrm>
              <a:off x="1963757" y="1738004"/>
              <a:ext cx="3088" cy="22860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44" name="Straight Connector 43">
              <a:extLst>
                <a:ext uri="{FF2B5EF4-FFF2-40B4-BE49-F238E27FC236}">
                  <a16:creationId xmlns:a16="http://schemas.microsoft.com/office/drawing/2014/main" id="{F689EDB4-FBF3-BD7F-909E-7AB409771B01}"/>
                </a:ext>
              </a:extLst>
            </xdr:cNvPr>
            <xdr:cNvCxnSpPr/>
          </xdr:nvCxnSpPr>
          <xdr:spPr>
            <a:xfrm>
              <a:off x="2201880" y="1874257"/>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grpSp>
      <xdr:grpSp>
        <xdr:nvGrpSpPr>
          <xdr:cNvPr id="36" name="Group 35">
            <a:extLst>
              <a:ext uri="{FF2B5EF4-FFF2-40B4-BE49-F238E27FC236}">
                <a16:creationId xmlns:a16="http://schemas.microsoft.com/office/drawing/2014/main" id="{203BEAC2-36B2-B2DA-F6CB-1AE867B5A1F5}"/>
              </a:ext>
            </a:extLst>
          </xdr:cNvPr>
          <xdr:cNvGrpSpPr/>
        </xdr:nvGrpSpPr>
        <xdr:grpSpPr>
          <a:xfrm>
            <a:off x="853481" y="3663821"/>
            <a:ext cx="655434" cy="227822"/>
            <a:chOff x="1509155" y="1738004"/>
            <a:chExt cx="909204" cy="228600"/>
          </a:xfrm>
          <a:solidFill>
            <a:sysClr val="window" lastClr="FFFFFF"/>
          </a:solidFill>
        </xdr:grpSpPr>
        <xdr:sp macro="" textlink="">
          <xdr:nvSpPr>
            <xdr:cNvPr id="37" name="Text Box 2">
              <a:extLst>
                <a:ext uri="{FF2B5EF4-FFF2-40B4-BE49-F238E27FC236}">
                  <a16:creationId xmlns:a16="http://schemas.microsoft.com/office/drawing/2014/main" id="{F2DB223A-9A95-B93D-23FE-EB8F6606C8DD}"/>
                </a:ext>
              </a:extLst>
            </xdr:cNvPr>
            <xdr:cNvSpPr txBox="1">
              <a:spLocks noChangeArrowheads="1"/>
            </xdr:cNvSpPr>
          </xdr:nvSpPr>
          <xdr:spPr bwMode="auto">
            <a:xfrm>
              <a:off x="1509155" y="1738004"/>
              <a:ext cx="909204" cy="228600"/>
            </a:xfrm>
            <a:prstGeom prst="rect">
              <a:avLst/>
            </a:prstGeom>
            <a:grp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xnSp macro="">
          <xdr:nvCxnSpPr>
            <xdr:cNvPr id="38" name="Straight Connector 37">
              <a:extLst>
                <a:ext uri="{FF2B5EF4-FFF2-40B4-BE49-F238E27FC236}">
                  <a16:creationId xmlns:a16="http://schemas.microsoft.com/office/drawing/2014/main" id="{08196A1B-B712-C742-2524-49B454EE7B55}"/>
                </a:ext>
              </a:extLst>
            </xdr:cNvPr>
            <xdr:cNvCxnSpPr/>
          </xdr:nvCxnSpPr>
          <xdr:spPr>
            <a:xfrm>
              <a:off x="1731820" y="1874262"/>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39" name="Straight Connector 38">
              <a:extLst>
                <a:ext uri="{FF2B5EF4-FFF2-40B4-BE49-F238E27FC236}">
                  <a16:creationId xmlns:a16="http://schemas.microsoft.com/office/drawing/2014/main" id="{248C0CD5-5E5C-331D-8823-4C1F8CE677AC}"/>
                </a:ext>
              </a:extLst>
            </xdr:cNvPr>
            <xdr:cNvCxnSpPr/>
          </xdr:nvCxnSpPr>
          <xdr:spPr>
            <a:xfrm>
              <a:off x="1963756" y="1873938"/>
              <a:ext cx="3088" cy="91752"/>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40" name="Straight Connector 39">
              <a:extLst>
                <a:ext uri="{FF2B5EF4-FFF2-40B4-BE49-F238E27FC236}">
                  <a16:creationId xmlns:a16="http://schemas.microsoft.com/office/drawing/2014/main" id="{AAF9278F-3BE4-5A09-5E3C-EA62D6EC5DCF}"/>
                </a:ext>
              </a:extLst>
            </xdr:cNvPr>
            <xdr:cNvCxnSpPr/>
          </xdr:nvCxnSpPr>
          <xdr:spPr>
            <a:xfrm>
              <a:off x="2201880" y="1874257"/>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grpSp>
    </xdr:grpSp>
    <xdr:clientData/>
  </xdr:twoCellAnchor>
  <xdr:twoCellAnchor>
    <xdr:from>
      <xdr:col>20</xdr:col>
      <xdr:colOff>110733</xdr:colOff>
      <xdr:row>79</xdr:row>
      <xdr:rowOff>34645</xdr:rowOff>
    </xdr:from>
    <xdr:to>
      <xdr:col>27</xdr:col>
      <xdr:colOff>163004</xdr:colOff>
      <xdr:row>80</xdr:row>
      <xdr:rowOff>116102</xdr:rowOff>
    </xdr:to>
    <xdr:grpSp>
      <xdr:nvGrpSpPr>
        <xdr:cNvPr id="45" name="Group 44">
          <a:extLst>
            <a:ext uri="{FF2B5EF4-FFF2-40B4-BE49-F238E27FC236}">
              <a16:creationId xmlns:a16="http://schemas.microsoft.com/office/drawing/2014/main" id="{344CF876-FE61-4E3F-B863-ABEC43E80540}"/>
            </a:ext>
          </a:extLst>
        </xdr:cNvPr>
        <xdr:cNvGrpSpPr/>
      </xdr:nvGrpSpPr>
      <xdr:grpSpPr>
        <a:xfrm>
          <a:off x="3836066" y="10802706"/>
          <a:ext cx="1345362" cy="220002"/>
          <a:chOff x="198045" y="3663821"/>
          <a:chExt cx="1310870" cy="227822"/>
        </a:xfrm>
      </xdr:grpSpPr>
      <xdr:grpSp>
        <xdr:nvGrpSpPr>
          <xdr:cNvPr id="46" name="Group 45">
            <a:extLst>
              <a:ext uri="{FF2B5EF4-FFF2-40B4-BE49-F238E27FC236}">
                <a16:creationId xmlns:a16="http://schemas.microsoft.com/office/drawing/2014/main" id="{2F89724E-6379-5338-F658-F9AB4FD6ABF2}"/>
              </a:ext>
            </a:extLst>
          </xdr:cNvPr>
          <xdr:cNvGrpSpPr/>
        </xdr:nvGrpSpPr>
        <xdr:grpSpPr>
          <a:xfrm>
            <a:off x="198045" y="3663821"/>
            <a:ext cx="655434" cy="227822"/>
            <a:chOff x="1509155" y="1738004"/>
            <a:chExt cx="909204" cy="228600"/>
          </a:xfrm>
          <a:solidFill>
            <a:sysClr val="window" lastClr="FFFFFF"/>
          </a:solidFill>
        </xdr:grpSpPr>
        <xdr:sp macro="" textlink="">
          <xdr:nvSpPr>
            <xdr:cNvPr id="52" name="Text Box 2">
              <a:extLst>
                <a:ext uri="{FF2B5EF4-FFF2-40B4-BE49-F238E27FC236}">
                  <a16:creationId xmlns:a16="http://schemas.microsoft.com/office/drawing/2014/main" id="{5CFFF31A-161C-380D-EDC6-34C4A9C66375}"/>
                </a:ext>
              </a:extLst>
            </xdr:cNvPr>
            <xdr:cNvSpPr txBox="1">
              <a:spLocks noChangeArrowheads="1"/>
            </xdr:cNvSpPr>
          </xdr:nvSpPr>
          <xdr:spPr bwMode="auto">
            <a:xfrm>
              <a:off x="1509155" y="1738004"/>
              <a:ext cx="909204" cy="228600"/>
            </a:xfrm>
            <a:prstGeom prst="rect">
              <a:avLst/>
            </a:prstGeom>
            <a:grp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xnSp macro="">
          <xdr:nvCxnSpPr>
            <xdr:cNvPr id="53" name="Straight Connector 52">
              <a:extLst>
                <a:ext uri="{FF2B5EF4-FFF2-40B4-BE49-F238E27FC236}">
                  <a16:creationId xmlns:a16="http://schemas.microsoft.com/office/drawing/2014/main" id="{10E8846C-9861-E844-497B-8ED9F42E9D8B}"/>
                </a:ext>
              </a:extLst>
            </xdr:cNvPr>
            <xdr:cNvCxnSpPr/>
          </xdr:nvCxnSpPr>
          <xdr:spPr>
            <a:xfrm>
              <a:off x="1731820" y="1874262"/>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54" name="Straight Connector 53">
              <a:extLst>
                <a:ext uri="{FF2B5EF4-FFF2-40B4-BE49-F238E27FC236}">
                  <a16:creationId xmlns:a16="http://schemas.microsoft.com/office/drawing/2014/main" id="{04B76FFF-D38F-2D89-2E1C-FD59AA3FD1A7}"/>
                </a:ext>
              </a:extLst>
            </xdr:cNvPr>
            <xdr:cNvCxnSpPr>
              <a:stCxn id="52" idx="0"/>
            </xdr:cNvCxnSpPr>
          </xdr:nvCxnSpPr>
          <xdr:spPr>
            <a:xfrm>
              <a:off x="1963757" y="1738004"/>
              <a:ext cx="3088" cy="22860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55" name="Straight Connector 54">
              <a:extLst>
                <a:ext uri="{FF2B5EF4-FFF2-40B4-BE49-F238E27FC236}">
                  <a16:creationId xmlns:a16="http://schemas.microsoft.com/office/drawing/2014/main" id="{59B19EDB-C647-B9F4-E3C6-5B396FA56376}"/>
                </a:ext>
              </a:extLst>
            </xdr:cNvPr>
            <xdr:cNvCxnSpPr/>
          </xdr:nvCxnSpPr>
          <xdr:spPr>
            <a:xfrm>
              <a:off x="2201880" y="1874257"/>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grpSp>
      <xdr:grpSp>
        <xdr:nvGrpSpPr>
          <xdr:cNvPr id="47" name="Group 46">
            <a:extLst>
              <a:ext uri="{FF2B5EF4-FFF2-40B4-BE49-F238E27FC236}">
                <a16:creationId xmlns:a16="http://schemas.microsoft.com/office/drawing/2014/main" id="{0632C555-EEEA-EC9F-AC62-4BEFC2CB1A77}"/>
              </a:ext>
            </a:extLst>
          </xdr:cNvPr>
          <xdr:cNvGrpSpPr/>
        </xdr:nvGrpSpPr>
        <xdr:grpSpPr>
          <a:xfrm>
            <a:off x="853481" y="3663821"/>
            <a:ext cx="655434" cy="227822"/>
            <a:chOff x="1509155" y="1738004"/>
            <a:chExt cx="909204" cy="228600"/>
          </a:xfrm>
          <a:solidFill>
            <a:sysClr val="window" lastClr="FFFFFF"/>
          </a:solidFill>
        </xdr:grpSpPr>
        <xdr:sp macro="" textlink="">
          <xdr:nvSpPr>
            <xdr:cNvPr id="48" name="Text Box 2">
              <a:extLst>
                <a:ext uri="{FF2B5EF4-FFF2-40B4-BE49-F238E27FC236}">
                  <a16:creationId xmlns:a16="http://schemas.microsoft.com/office/drawing/2014/main" id="{FBA5635F-51FC-757B-8F0C-5EDD198C90A9}"/>
                </a:ext>
              </a:extLst>
            </xdr:cNvPr>
            <xdr:cNvSpPr txBox="1">
              <a:spLocks noChangeArrowheads="1"/>
            </xdr:cNvSpPr>
          </xdr:nvSpPr>
          <xdr:spPr bwMode="auto">
            <a:xfrm>
              <a:off x="1509155" y="1738004"/>
              <a:ext cx="909204" cy="228600"/>
            </a:xfrm>
            <a:prstGeom prst="rect">
              <a:avLst/>
            </a:prstGeom>
            <a:grp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xnSp macro="">
          <xdr:nvCxnSpPr>
            <xdr:cNvPr id="49" name="Straight Connector 48">
              <a:extLst>
                <a:ext uri="{FF2B5EF4-FFF2-40B4-BE49-F238E27FC236}">
                  <a16:creationId xmlns:a16="http://schemas.microsoft.com/office/drawing/2014/main" id="{CE5C73DC-3EAB-7E13-2FE1-D9D9AED08E18}"/>
                </a:ext>
              </a:extLst>
            </xdr:cNvPr>
            <xdr:cNvCxnSpPr/>
          </xdr:nvCxnSpPr>
          <xdr:spPr>
            <a:xfrm>
              <a:off x="1731820" y="1874262"/>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50" name="Straight Connector 49">
              <a:extLst>
                <a:ext uri="{FF2B5EF4-FFF2-40B4-BE49-F238E27FC236}">
                  <a16:creationId xmlns:a16="http://schemas.microsoft.com/office/drawing/2014/main" id="{B5E2DBE8-544B-A0D9-E653-07E3BDD6FD6B}"/>
                </a:ext>
              </a:extLst>
            </xdr:cNvPr>
            <xdr:cNvCxnSpPr/>
          </xdr:nvCxnSpPr>
          <xdr:spPr>
            <a:xfrm>
              <a:off x="1963756" y="1873938"/>
              <a:ext cx="3088" cy="91752"/>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51" name="Straight Connector 50">
              <a:extLst>
                <a:ext uri="{FF2B5EF4-FFF2-40B4-BE49-F238E27FC236}">
                  <a16:creationId xmlns:a16="http://schemas.microsoft.com/office/drawing/2014/main" id="{AF96E0CF-9A5E-B608-9A86-48CA85F0DD20}"/>
                </a:ext>
              </a:extLst>
            </xdr:cNvPr>
            <xdr:cNvCxnSpPr/>
          </xdr:nvCxnSpPr>
          <xdr:spPr>
            <a:xfrm>
              <a:off x="2201880" y="1874257"/>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grpSp>
    </xdr:grpSp>
    <xdr:clientData/>
  </xdr:twoCellAnchor>
  <xdr:twoCellAnchor>
    <xdr:from>
      <xdr:col>8</xdr:col>
      <xdr:colOff>25770</xdr:colOff>
      <xdr:row>79</xdr:row>
      <xdr:rowOff>34644</xdr:rowOff>
    </xdr:from>
    <xdr:to>
      <xdr:col>16</xdr:col>
      <xdr:colOff>118968</xdr:colOff>
      <xdr:row>80</xdr:row>
      <xdr:rowOff>118348</xdr:rowOff>
    </xdr:to>
    <xdr:sp macro="" textlink="">
      <xdr:nvSpPr>
        <xdr:cNvPr id="56" name="Text Box 2">
          <a:extLst>
            <a:ext uri="{FF2B5EF4-FFF2-40B4-BE49-F238E27FC236}">
              <a16:creationId xmlns:a16="http://schemas.microsoft.com/office/drawing/2014/main" id="{F7A5C53F-0ED9-4359-BC85-C4E203F0C45F}"/>
            </a:ext>
          </a:extLst>
        </xdr:cNvPr>
        <xdr:cNvSpPr txBox="1">
          <a:spLocks noChangeArrowheads="1"/>
        </xdr:cNvSpPr>
      </xdr:nvSpPr>
      <xdr:spPr bwMode="auto">
        <a:xfrm>
          <a:off x="1488810" y="10702644"/>
          <a:ext cx="1556238" cy="220864"/>
        </a:xfrm>
        <a:prstGeom prst="rect">
          <a:avLst/>
        </a:prstGeom>
        <a:solidFill>
          <a:sysClr val="window" lastClr="FFFFFF"/>
        </a:solid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lientData/>
  </xdr:twoCellAnchor>
  <xdr:twoCellAnchor editAs="oneCell">
    <xdr:from>
      <xdr:col>29</xdr:col>
      <xdr:colOff>41673</xdr:colOff>
      <xdr:row>4</xdr:row>
      <xdr:rowOff>47625</xdr:rowOff>
    </xdr:from>
    <xdr:to>
      <xdr:col>39</xdr:col>
      <xdr:colOff>164783</xdr:colOff>
      <xdr:row>6</xdr:row>
      <xdr:rowOff>85725</xdr:rowOff>
    </xdr:to>
    <xdr:pic>
      <xdr:nvPicPr>
        <xdr:cNvPr id="57" name="Picture 56" descr="C:\Users\kimberly.forones\AppData\Local\Microsoft\Windows\INetCache\Content.Word\2307 0118ENCS.PNG">
          <a:extLst>
            <a:ext uri="{FF2B5EF4-FFF2-40B4-BE49-F238E27FC236}">
              <a16:creationId xmlns:a16="http://schemas.microsoft.com/office/drawing/2014/main" id="{32B418D2-DFC4-4496-8836-9C0EDD6B48FA}"/>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5375673" y="565785"/>
          <a:ext cx="1906190" cy="403860"/>
        </a:xfrm>
        <a:prstGeom prst="rect">
          <a:avLst/>
        </a:prstGeom>
        <a:noFill/>
        <a:ln>
          <a:noFill/>
        </a:ln>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delrosario-c75/Downloads/BIR%202307%20Certificate%20of%20Creditable%20Tax%20Withheld%20at%20Source.xlsx" TargetMode="External"/><Relationship Id="rId2" Type="http://schemas.openxmlformats.org/officeDocument/2006/relationships/externalLinkPath" Target="file:///C:\Users\delrosario-c75\Downloads\BIR%202307%20Certificate%20of%20Creditable%20Tax%20Withheld%20at%20Source.xlsx" TargetMode="External"/><Relationship Id="rId1" Type="http://schemas.openxmlformats.org/officeDocument/2006/relationships/externalLinkPath" Target="/Users/delrosario-c75/Downloads/BIR%202307%20Certificate%20of%20Creditable%20Tax%20Withheld%20at%20Sourc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BIR2307"/>
      <sheetName val="Page1"/>
      <sheetName val="Page2"/>
      <sheetName val="BIR2307 (2)"/>
    </sheetNames>
    <sheetDataSet>
      <sheetData sheetId="0" refreshError="1"/>
      <sheetData sheetId="1" refreshError="1"/>
      <sheetData sheetId="2" refreshError="1">
        <row r="1">
          <cell r="AS1" t="str">
            <v>20240101</v>
          </cell>
          <cell r="AT1" t="str">
            <v>20240331</v>
          </cell>
        </row>
        <row r="2">
          <cell r="AS2" t="str">
            <v>20240401</v>
          </cell>
          <cell r="AT2" t="str">
            <v>20240630</v>
          </cell>
        </row>
        <row r="3">
          <cell r="AS3" t="str">
            <v>20240701</v>
          </cell>
          <cell r="AT3" t="str">
            <v>20240930</v>
          </cell>
        </row>
        <row r="4">
          <cell r="AS4" t="str">
            <v>20241001</v>
          </cell>
          <cell r="AT4" t="str">
            <v>20241231</v>
          </cell>
        </row>
        <row r="5">
          <cell r="AS5" t="str">
            <v>20250101</v>
          </cell>
          <cell r="AT5" t="str">
            <v>20250331</v>
          </cell>
        </row>
        <row r="6">
          <cell r="AS6" t="str">
            <v>20250401</v>
          </cell>
          <cell r="AT6" t="str">
            <v>20250630</v>
          </cell>
        </row>
        <row r="7">
          <cell r="AP7" t="str">
            <v>WC010</v>
          </cell>
          <cell r="AQ7" t="str">
            <v>PROFESSIONAL (LAWYERS, CPAS, ENGINEERS, ETC.) - IF GROSS INCOME FOR THE CURRENT YEAR DID NOT EXCEED P 720,000</v>
          </cell>
          <cell r="AR7">
            <v>0.1</v>
          </cell>
          <cell r="AS7" t="str">
            <v>20250701</v>
          </cell>
          <cell r="AT7" t="str">
            <v>20250930</v>
          </cell>
        </row>
        <row r="8">
          <cell r="AP8" t="str">
            <v>WC011</v>
          </cell>
          <cell r="AQ8" t="str">
            <v>PROFESSIONAL (LAWYERS, CPAS, ENGINEERS, ETC.) - IF GROSS INCOME EXCEEDS P 720,000</v>
          </cell>
          <cell r="AR8">
            <v>0.15</v>
          </cell>
          <cell r="AS8" t="str">
            <v>20251001</v>
          </cell>
          <cell r="AT8" t="str">
            <v>20251231</v>
          </cell>
        </row>
        <row r="9">
          <cell r="AP9" t="str">
            <v>WC020</v>
          </cell>
          <cell r="AQ9" t="str">
            <v>PROFESSIONAL ENTERTAINERS SUCH AS, BUT NOT LIMITED TO ACTORS AND ACTRESSES, SINGERS, LYRICISTS, COMPOSERS, EMCEES - IF GROSS INCOME FOR THE CURRENT YEAR DID NOT EXCEED P 720,000</v>
          </cell>
          <cell r="AR9">
            <v>0.1</v>
          </cell>
          <cell r="AS9" t="str">
            <v>20260101</v>
          </cell>
          <cell r="AT9" t="str">
            <v>20260331</v>
          </cell>
        </row>
        <row r="10">
          <cell r="AP10" t="str">
            <v>WC021</v>
          </cell>
          <cell r="AQ10" t="str">
            <v>PROFESSIONAL ENTERTAINERS SUCH AS, BUT NOT LIMITED TO ACTORS AND ACTRESSES, SINGERS, LYRICISTS, COMPOSERS, EMCEES - IF GROSS INCOME EXCEEDS P 720,000</v>
          </cell>
          <cell r="AR10">
            <v>0.15</v>
          </cell>
          <cell r="AS10" t="str">
            <v>20260401</v>
          </cell>
          <cell r="AT10" t="str">
            <v>20260630</v>
          </cell>
        </row>
        <row r="11">
          <cell r="AP11" t="str">
            <v>WC030</v>
          </cell>
          <cell r="AQ11" t="str">
            <v>PROFESSIONAL ATHLETES INCLUDING BASKETBALL PLAYERS, PELOTARIS AND JOCKEYS - IF GROSS INCOME FOR THE CURRENT YEAR DID NOT EXCEED P 720,000</v>
          </cell>
          <cell r="AR11">
            <v>0.1</v>
          </cell>
          <cell r="AS11" t="str">
            <v>20260701</v>
          </cell>
          <cell r="AT11" t="str">
            <v>20260930</v>
          </cell>
        </row>
        <row r="12">
          <cell r="AP12" t="str">
            <v>WC031</v>
          </cell>
          <cell r="AQ12" t="str">
            <v>PROFESSIONAL ATHLETES INCLUDING BASKETBALL PLAYERS, PELOTARIS AND JOCKEYS - IF GROSS INCOME EXCEEDS P 720,000</v>
          </cell>
          <cell r="AR12">
            <v>0.15</v>
          </cell>
          <cell r="AS12" t="str">
            <v>20261001</v>
          </cell>
          <cell r="AT12" t="str">
            <v>20261231</v>
          </cell>
        </row>
        <row r="13">
          <cell r="AP13" t="str">
            <v>WC040</v>
          </cell>
          <cell r="AQ13" t="str">
            <v>ALL DIRECTORS AND PRODUCERS INVOLVED IN MOVIES, STAGE, RADIO, TELEVISION AND MUSICAL PRODUCTIONS - IF GROSS INCOME FOR THE CURRENT YEAR DID NOT EXCEED P 720,000</v>
          </cell>
          <cell r="AR13">
            <v>0.1</v>
          </cell>
        </row>
        <row r="14">
          <cell r="AP14" t="str">
            <v>WC041</v>
          </cell>
          <cell r="AQ14" t="str">
            <v>ALL DIRECTORS AND PRODUCERS INVOLVED IN MOVIES, STAGE, RADIO, TELEVISION AND MUSICAL PRODUCTIONS - IF GROSS INCOME EXCEEDS P 720,000</v>
          </cell>
          <cell r="AR14">
            <v>0.15</v>
          </cell>
        </row>
        <row r="15">
          <cell r="AP15" t="str">
            <v>WC050</v>
          </cell>
          <cell r="AQ15" t="str">
            <v>MANAGEMENT AND TECHNICAL CONSULTANTS - IF GROSS INCOME FOR THE CURRENT YEAR DID NOT EXCEED P 720,000</v>
          </cell>
          <cell r="AR15">
            <v>0.1</v>
          </cell>
        </row>
        <row r="16">
          <cell r="AP16" t="str">
            <v>WC051</v>
          </cell>
          <cell r="AQ16" t="str">
            <v>MANAGEMENT AND TECHNICAL CONSULTANTS - IF GROSS INCOME EXCEEDS P 720,000</v>
          </cell>
          <cell r="AR16">
            <v>0.15</v>
          </cell>
        </row>
        <row r="17">
          <cell r="AP17" t="str">
            <v>WC060</v>
          </cell>
          <cell r="AQ17" t="str">
            <v>BUSINESS AND BOOKKEEPING AGENTS AND AGENCIES - IF GROSS INCOME FOR THE CURRENT YEAR DID NOT EXCEED P 720,000</v>
          </cell>
          <cell r="AR17">
            <v>0.1</v>
          </cell>
        </row>
        <row r="18">
          <cell r="AP18" t="str">
            <v>WC061</v>
          </cell>
          <cell r="AQ18" t="str">
            <v>BUSINESS AND BOOKKEEPING AGENTS AND AGENCIES - IF GROSS INCOME EXCEEDS P 720,000</v>
          </cell>
          <cell r="AR18">
            <v>0.15</v>
          </cell>
        </row>
        <row r="19">
          <cell r="AP19" t="str">
            <v>WC070</v>
          </cell>
          <cell r="AQ19" t="str">
            <v>INSURANCE AGENTS AND INSURANCE ADJUSTERS - IF GROSS INCOME FOR THE CURRENT YEAR DID NOT EXCEED P 720,000</v>
          </cell>
          <cell r="AR19">
            <v>0.1</v>
          </cell>
        </row>
        <row r="20">
          <cell r="AP20" t="str">
            <v>WC071</v>
          </cell>
          <cell r="AQ20" t="str">
            <v>INSURANCE AGENTS AND INSURANCE ADJUSTERS - IF GROSS INCOME EXCEEDS P 720,000</v>
          </cell>
          <cell r="AR20">
            <v>0.15</v>
          </cell>
        </row>
        <row r="21">
          <cell r="AP21" t="str">
            <v>WC080</v>
          </cell>
          <cell r="AQ21" t="str">
            <v>OTHER RECIPIENTS OF TALENT FEES - IF GROSS INCOME FOR THE CURRENT YEAR DID NOT EXCEED P 720,000</v>
          </cell>
          <cell r="AR21">
            <v>0.1</v>
          </cell>
        </row>
        <row r="22">
          <cell r="AP22" t="str">
            <v>WC081</v>
          </cell>
          <cell r="AQ22" t="str">
            <v>OTHER RECIPIENTS OF TALENT FEES - IF GROSS INCOME EXCEEDS P 720,000</v>
          </cell>
          <cell r="AR22">
            <v>0.15</v>
          </cell>
        </row>
        <row r="23">
          <cell r="AP23" t="str">
            <v>WC100</v>
          </cell>
          <cell r="AQ23" t="e">
            <v>#VALUE!</v>
          </cell>
          <cell r="AR23">
            <v>0.05</v>
          </cell>
        </row>
        <row r="24">
          <cell r="AP24" t="str">
            <v>WC110</v>
          </cell>
          <cell r="AQ24" t="str">
            <v>CINEMATOGRAPHIC FILM RENTALS AND OTHER PAYMENTS TO RESIDENT INDIVIDUALS AND CORPORATE CINEMATOGRAPHIC FILM OWNERS, LESSORS OR DISTRIBUTORS</v>
          </cell>
          <cell r="AR24">
            <v>0.05</v>
          </cell>
        </row>
        <row r="25">
          <cell r="AP25" t="str">
            <v>WC120</v>
          </cell>
          <cell r="AQ25" t="str">
            <v>INCOME PAYMENTS TO CERTAIN CONTRACTORS</v>
          </cell>
          <cell r="AR25">
            <v>0.02</v>
          </cell>
        </row>
        <row r="26">
          <cell r="AP26" t="str">
            <v>WC139</v>
          </cell>
          <cell r="AQ26" t="e">
            <v>#VALUE!</v>
          </cell>
          <cell r="AR26">
            <v>0.1</v>
          </cell>
        </row>
        <row r="27">
          <cell r="AP27" t="str">
            <v>WC140</v>
          </cell>
          <cell r="AQ27" t="e">
            <v>#VALUE!</v>
          </cell>
          <cell r="AR27">
            <v>0.15</v>
          </cell>
        </row>
        <row r="28">
          <cell r="AP28" t="str">
            <v>WC150</v>
          </cell>
          <cell r="AQ28" t="e">
            <v>#VALUE!</v>
          </cell>
          <cell r="AR28">
            <v>0.15</v>
          </cell>
        </row>
        <row r="29">
          <cell r="AP29" t="str">
            <v>WC151</v>
          </cell>
          <cell r="AQ29" t="e">
            <v>#VALUE!</v>
          </cell>
          <cell r="AR29">
            <v>0.1</v>
          </cell>
        </row>
        <row r="30">
          <cell r="AP30" t="str">
            <v>WC156</v>
          </cell>
          <cell r="AQ30" t="str">
            <v>INCOME PAYMENTS MADE BY CREDIT CARD COMPANIES</v>
          </cell>
          <cell r="AR30">
            <v>5.0000000000000001E-3</v>
          </cell>
        </row>
        <row r="31">
          <cell r="AP31" t="str">
            <v>WC157</v>
          </cell>
          <cell r="AQ31" t="str">
            <v>INCOME PAYMENTS MADE BY THE GOVERNMENT AND GOVERNMENT-OWNED AND CONTROLLED CORPORATIONS (GOCCS) TO ITS LOCAL/RESIDENT SUPPLIERS OF SERVICES OTHER THAN THOSE COVERED BY OTHER RATES OF WITHHOLDING TAX</v>
          </cell>
          <cell r="AR31">
            <v>0.02</v>
          </cell>
        </row>
        <row r="32">
          <cell r="AP32" t="str">
            <v>WC158</v>
          </cell>
          <cell r="AQ32" t="str">
            <v>INCOME PAYMENT MADE BY TOP WITHHOLDING AGENTS TO THEIR LOCAL/RESIDENT SUPPLIER OF GOODS OTHER THAN THOSE COVERED BY OTHER RATES OF WITHHOLDING TAX</v>
          </cell>
          <cell r="AR32">
            <v>0.01</v>
          </cell>
        </row>
        <row r="33">
          <cell r="AP33" t="str">
            <v>WC160</v>
          </cell>
          <cell r="AQ33" t="str">
            <v>INCOME PAYMENT MADE BY TOP WITHHOLDING AGENTS TO THEIR LOCAL/RESIDENT SUPPLIER OF SERVICES OTHER THAN THOSE COVERED BY OTHER RATES OF WITHHOLDING TAX</v>
          </cell>
          <cell r="AR33">
            <v>0.02</v>
          </cell>
        </row>
        <row r="34">
          <cell r="AP34" t="str">
            <v>WC515</v>
          </cell>
          <cell r="AQ34" t="e">
            <v>#VALUE!</v>
          </cell>
          <cell r="AR34">
            <v>0.1</v>
          </cell>
        </row>
        <row r="35">
          <cell r="AP35" t="str">
            <v>WC516</v>
          </cell>
          <cell r="AQ35" t="e">
            <v>#VALUE!</v>
          </cell>
          <cell r="AR35">
            <v>0.15</v>
          </cell>
        </row>
        <row r="36">
          <cell r="AP36" t="str">
            <v>WC110</v>
          </cell>
          <cell r="AQ36" t="str">
            <v>CINEMATOGRAPHIC FILM RENTALS AND OTHER PAYMENTS TO RESIDENT INDIVIDUALS AND CORPORATE CINEMATOGRAPHIC FILM OWNERS, LESSORS OR DISTRIBUTORS</v>
          </cell>
          <cell r="AR36">
            <v>0.05</v>
          </cell>
        </row>
        <row r="37">
          <cell r="AP37" t="str">
            <v>WC610</v>
          </cell>
          <cell r="AQ37" t="str">
            <v>INCOME PAYMENTS MADE TO SUPPLIERS OF AGRICULTURAL PRODUCTS IN EXCESS OF CUMULATIVE AMOUNT OF P 300,000 WITHIN THE SAME TAXABLE YEAR</v>
          </cell>
          <cell r="AR37">
            <v>0.01</v>
          </cell>
        </row>
        <row r="38">
          <cell r="AP38" t="str">
            <v>WC630</v>
          </cell>
          <cell r="AQ38" t="str">
            <v>INCOME PAYMENTS ON PURCHASES OF MINERALS, MINERAL PRODUCTS AND QUARRY RESOURCES, SUCH AS BUT NOT LIMITED TO SILVER, GOLD, MARBLE, GRANITE, GRAVEL, SAND, BOULDERS AND OTHER MINERAL PRODUCTS EXCEPT PURCHASES BY BANGKO SENTRAL NG PILIPINAS</v>
          </cell>
          <cell r="AR38">
            <v>0.05</v>
          </cell>
        </row>
        <row r="39">
          <cell r="AP39" t="str">
            <v>WC632</v>
          </cell>
          <cell r="AQ39" t="str">
            <v>INCOME PAYMENTS ON PURCHASES OF MINERALS, MINERAL PRODUCTS AND QUARRY RESOURCES BY BANGKO SENTRAL NG PILIPINAS (BSP) FROM GOLD MINERS/SUPPLIERS UNDER PD 1899, AS AMENDED BY RA NO. 7076</v>
          </cell>
          <cell r="AR39">
            <v>0.01</v>
          </cell>
        </row>
        <row r="40">
          <cell r="AP40" t="str">
            <v>WC640</v>
          </cell>
          <cell r="AQ40" t="str">
            <v>INCOME PAYMENTS MADE BY THE GOVERNMENT AND GOVERNMENT-OWNED AND CONTROLLED CORPORATIONS (GOCCS) TO ITS LOCAL/RESIDENT SUPPLIERS OF GOODS OTHER THAN THOSE COVERED BY OTHER RATES OF WITHHOLDING TAX</v>
          </cell>
          <cell r="AR40">
            <v>0.01</v>
          </cell>
        </row>
        <row r="41">
          <cell r="AP41" t="str">
            <v>WC650</v>
          </cell>
          <cell r="AQ41" t="str">
            <v>ON GROSS AMOUNT OF REFUND GIVEN BY MERALCO TO CUSTOMERS WITH ACTIVE CONTRACTS AS CLASSIFIED BY MERALCO</v>
          </cell>
          <cell r="AR41">
            <v>0.25</v>
          </cell>
        </row>
        <row r="42">
          <cell r="AP42" t="str">
            <v>WC651</v>
          </cell>
          <cell r="AQ42" t="str">
            <v>ON GROSS AMOUNT OF REFUND GIVEN BY MERALCO TO CUSTOMERS WITH TERMINATED CONTRACTS AS CLASSIFIED BY MERALCO</v>
          </cell>
          <cell r="AR42">
            <v>0.32</v>
          </cell>
        </row>
        <row r="43">
          <cell r="AP43" t="str">
            <v>WC660</v>
          </cell>
          <cell r="AQ43" t="e">
            <v>#VALUE!</v>
          </cell>
          <cell r="AR43">
            <v>0.1</v>
          </cell>
        </row>
        <row r="44">
          <cell r="AP44" t="str">
            <v>WC661</v>
          </cell>
          <cell r="AQ44" t="str">
            <v>ON GROSS AMOUNT OF INTEREST ON THE REFUND OF METER DEPOSIT WHETHER PAID DIRECTLY TO THE CUSTOMERS OR APPLIED AGAINST CUSTOMERS BILLINGS OF NON-RESIDENTIAL CUSTOMERS WHOSE MONTHLY ELECTRICITY CONSUMPTION EXCEEDS 200 KWH AS CLASSIFIED BY MERALCO</v>
          </cell>
          <cell r="AR44">
            <v>0.1</v>
          </cell>
        </row>
        <row r="45">
          <cell r="AP45" t="str">
            <v>WC662</v>
          </cell>
          <cell r="AQ45" t="e">
            <v>#VALUE!</v>
          </cell>
          <cell r="AR45">
            <v>0.1</v>
          </cell>
        </row>
        <row r="46">
          <cell r="AP46" t="str">
            <v>WC663</v>
          </cell>
          <cell r="AQ46" t="e">
            <v>#VALUE!</v>
          </cell>
          <cell r="AR46">
            <v>0.2</v>
          </cell>
        </row>
        <row r="47">
          <cell r="AP47" t="str">
            <v>WC680</v>
          </cell>
          <cell r="AQ47" t="e">
            <v>#VALUE!</v>
          </cell>
          <cell r="AR47">
            <v>0.05</v>
          </cell>
        </row>
        <row r="48">
          <cell r="AP48" t="str">
            <v>WC690</v>
          </cell>
          <cell r="AQ48" t="str">
            <v>INCOME PAYMENTS RECEIVED BY REAL ESTATE INVESTMENT TRUST (REIT)</v>
          </cell>
          <cell r="AR48">
            <v>0.01</v>
          </cell>
        </row>
        <row r="49">
          <cell r="AP49" t="str">
            <v>WC710</v>
          </cell>
          <cell r="AQ49" t="str">
            <v>INTEREST INCOME DERIVED FROM ANY OTHER DEBT INSTRUMENTS NOT WITHIN THE COVERAGE OF DEPOSIT SUBSTITUTES AND REVENUE REGULATIONS NO. 14-2012</v>
          </cell>
          <cell r="AR49">
            <v>0.2</v>
          </cell>
        </row>
        <row r="50">
          <cell r="AP50" t="str">
            <v>WC720</v>
          </cell>
          <cell r="AQ50" t="str">
            <v>INCOME PAYMENTS ON LOCALLY PRODUCED RAW SUGAR</v>
          </cell>
          <cell r="AR50">
            <v>0.01</v>
          </cell>
        </row>
        <row r="51">
          <cell r="AP51" t="str">
            <v>WI010</v>
          </cell>
          <cell r="AQ51" t="str">
            <v>PROFESSIONAL (LAWYERS, CPAS, ENGINEERS, ETC.) - IF GROSS INCOME FOR THE CURRENT YEAR DID NOT EXCEED P 3M</v>
          </cell>
          <cell r="AR51">
            <v>0.05</v>
          </cell>
        </row>
        <row r="52">
          <cell r="AP52" t="str">
            <v>WI011</v>
          </cell>
          <cell r="AQ52" t="str">
            <v>PROFESSIONAL (LAWYERS, CPAS, ENGINEERS, ETC.) - IF GROSS INCOME IS MORE THAN P 3M OR VAT REGISTERED REGARDLESS OF AMOUNT</v>
          </cell>
          <cell r="AR52">
            <v>0.1</v>
          </cell>
        </row>
        <row r="53">
          <cell r="AP53" t="str">
            <v>WI020</v>
          </cell>
          <cell r="AQ53" t="str">
            <v>PROFESSIONAL ENTERTAINERS SUCH AS, BUT NOT LIMITED TO ACTORS AND ACTRESSES, SINGERS, LYRICISTS, COMPOSERS, EMCEES - IF GROSS INCOME FOR THE CURRENT YEAR DID NOT EXCEED P 3M</v>
          </cell>
          <cell r="AR53">
            <v>0.05</v>
          </cell>
        </row>
        <row r="54">
          <cell r="AP54" t="str">
            <v>WI021</v>
          </cell>
          <cell r="AQ54" t="str">
            <v>PROFESSIONAL ENTERTAINERS SUCH AS, BUT NOT LIMITED TO ACTORS AND ACTRESSES, SINGERS, LYRICISTS, COMPOSERS, EMCEES - IF GROSS INCOME IS MORE THAN P 3M OR VAT REGISTERED REGARDLESS OF AMOUNT</v>
          </cell>
          <cell r="AR54">
            <v>0.1</v>
          </cell>
        </row>
        <row r="55">
          <cell r="AP55" t="str">
            <v>WI030</v>
          </cell>
          <cell r="AQ55" t="str">
            <v>PROFESSIONAL ATHLETES INCLUDING BASKETBALL PLAYERS, PELOTARIS AND JOCKEYS - IF GROSS INCOME FOR THE CURRENT YEAR DID NOT EXCEED P 3M</v>
          </cell>
          <cell r="AR55">
            <v>0.05</v>
          </cell>
        </row>
        <row r="56">
          <cell r="AP56" t="str">
            <v>WI031</v>
          </cell>
          <cell r="AQ56" t="str">
            <v>PROFESSIONAL ATHLETES INCLUDING BASKETBALL PLAYERS, PELOTARIS AND JOCKEYS - IF GROSS INCOME IS MORE THAN P 3M OR VAT REGISTERED REGARDLESS OF AMOUNT</v>
          </cell>
          <cell r="AR56">
            <v>0.1</v>
          </cell>
        </row>
        <row r="57">
          <cell r="AP57" t="str">
            <v>WI040</v>
          </cell>
          <cell r="AQ57" t="str">
            <v>ALL DIRECTORS AND PRODUCERS INVOLVED IN MOVIES, STAGE, RADIO, TELEVISION AND MUSICAL PRODUCTIONS - IF GROSS INCOME FOR THE CURRENT YEAR DID NOT EXCEED P 3M</v>
          </cell>
          <cell r="AR57">
            <v>0.05</v>
          </cell>
        </row>
        <row r="58">
          <cell r="AP58" t="str">
            <v>WI041</v>
          </cell>
          <cell r="AQ58" t="str">
            <v>ALL DIRECTORS AND PRODUCERS INVOLVED IN MOVIES, STAGE, RADIO, TELEVISION AND MUSICAL PRODUCTIONS - IF GROSS INCOME IS MORE THAN P 3M OR VAT REGISTERED REGARDLESS OF AMOUNT</v>
          </cell>
          <cell r="AR58">
            <v>0.1</v>
          </cell>
        </row>
        <row r="59">
          <cell r="AP59" t="str">
            <v>WI050</v>
          </cell>
          <cell r="AQ59" t="str">
            <v>MANAGEMENT AND TECHNICAL CONSULTANTS - IF GROSS INCOME FOR THE CURRENT YEAR DID NOT EXCEED P 3M</v>
          </cell>
          <cell r="AR59">
            <v>0.05</v>
          </cell>
        </row>
        <row r="60">
          <cell r="AP60" t="str">
            <v>WI051</v>
          </cell>
          <cell r="AQ60" t="str">
            <v>MANAGEMENT AND TECHNICAL CONSULTANTS - IF GROSS INCOME IS MORE THAN P 3M OR VAT REGISTERED REGARDLESS OF AMOUNT</v>
          </cell>
          <cell r="AR60">
            <v>0.1</v>
          </cell>
        </row>
        <row r="61">
          <cell r="AP61" t="str">
            <v>WI060</v>
          </cell>
          <cell r="AQ61" t="str">
            <v>BUSINESS AND BOOKKEEPING AGENTS AND AGENCIES - IF GROSS INCOME FOR THE CURRENT YEAR DID NOT EXCEED P 3M</v>
          </cell>
          <cell r="AR61">
            <v>0.05</v>
          </cell>
        </row>
        <row r="62">
          <cell r="AP62" t="str">
            <v>WI061</v>
          </cell>
          <cell r="AQ62" t="str">
            <v>BUSINESS AND BOOKKEEPING AGENTS AND AGENCIES -IF GROSS INCOME IS MORE THAN P 3M OR VAT REGISTERED REGARDLESS OF AMOUNT</v>
          </cell>
          <cell r="AR62">
            <v>0.1</v>
          </cell>
        </row>
        <row r="63">
          <cell r="AP63" t="str">
            <v>WI070</v>
          </cell>
          <cell r="AQ63" t="str">
            <v>INSURANCE AGENTS AND INSURANCE ADJUSTERS - IF GROSS INCOME FOR THE CURRENT YEAR DID NOT EXCEED P 3M</v>
          </cell>
          <cell r="AR63">
            <v>0.05</v>
          </cell>
        </row>
        <row r="64">
          <cell r="AP64" t="str">
            <v>WI071</v>
          </cell>
          <cell r="AQ64" t="str">
            <v>INSURANCE AGENTS AND INSURANCE ADJUSTERS - IF GROSS INCOME IS MORE THAN P 3M OR VAT REGISTERED REGARDLESS OF AMOUNT</v>
          </cell>
          <cell r="AR64">
            <v>0.1</v>
          </cell>
        </row>
        <row r="65">
          <cell r="AP65" t="str">
            <v>WI080</v>
          </cell>
          <cell r="AQ65" t="str">
            <v>OTHER RECIPIENTS OF TALENT FEES - IF GROSS INCOME FOR THE CURRENT YEAR DID NOT EXCEED P 3M</v>
          </cell>
          <cell r="AR65">
            <v>0.05</v>
          </cell>
        </row>
        <row r="66">
          <cell r="AP66" t="str">
            <v>WI081</v>
          </cell>
          <cell r="AQ66" t="str">
            <v>OTHER RECIPIENTS OF TALENT FEES - IF GROSS INCOME IS MORE THAN P 3M OR VAT REGISTERED REGARDLESS OF AMOUNT</v>
          </cell>
          <cell r="AR66">
            <v>0.1</v>
          </cell>
        </row>
        <row r="67">
          <cell r="AP67" t="str">
            <v>WI090</v>
          </cell>
          <cell r="AQ67" t="str">
            <v>FEES OF DIRECTORS WHO ARE NOT EMPLOYEES OF THE COMPANY - IF GROSS INCOME FOR THE CURRENT YEAR DID NOT EXCEED P 3M</v>
          </cell>
          <cell r="AR67">
            <v>0.05</v>
          </cell>
        </row>
        <row r="68">
          <cell r="AP68" t="str">
            <v>WI091</v>
          </cell>
          <cell r="AQ68" t="str">
            <v>FEES OF DIRECTORS WHO ARE NOT EMPLOYEES OF THE COMPANY - IF GROSS INCOME IS MORE THAN P 3M OR VAT REGISTERED REGARDLESS OF AMOUNT</v>
          </cell>
          <cell r="AR68">
            <v>0.1</v>
          </cell>
        </row>
        <row r="69">
          <cell r="AP69" t="str">
            <v>WI100</v>
          </cell>
          <cell r="AQ69" t="e">
            <v>#VALUE!</v>
          </cell>
          <cell r="AR69">
            <v>0.05</v>
          </cell>
        </row>
        <row r="70">
          <cell r="AP70" t="str">
            <v>WI110</v>
          </cell>
          <cell r="AQ70" t="str">
            <v>CINEMATOGRAPHIC FILM RENTALS AND OTHER PAYMENTS TO RESIDENT INDIVIDUALS AND CORPORATE CINEMATOGRAPHIC FILM OWNERS, LESSORS OR DISTRIBUTORS</v>
          </cell>
          <cell r="AR70">
            <v>0.05</v>
          </cell>
        </row>
        <row r="71">
          <cell r="AP71" t="str">
            <v>WI120</v>
          </cell>
          <cell r="AQ71" t="str">
            <v>INCOME PAYMENTS TO CERTAIN CONTRACTORS</v>
          </cell>
          <cell r="AR71">
            <v>0.02</v>
          </cell>
        </row>
        <row r="72">
          <cell r="AP72" t="str">
            <v>WI130</v>
          </cell>
          <cell r="AQ72" t="str">
            <v>INCOME DISTRIBUTION TO THE BENEFICIARIES OF ESTATES AND TRUSTS</v>
          </cell>
          <cell r="AR72">
            <v>0.15</v>
          </cell>
        </row>
        <row r="73">
          <cell r="AP73" t="str">
            <v>WI139</v>
          </cell>
          <cell r="AQ73" t="e">
            <v>#VALUE!</v>
          </cell>
          <cell r="AR73">
            <v>0.05</v>
          </cell>
        </row>
        <row r="74">
          <cell r="AP74" t="str">
            <v>WI140</v>
          </cell>
          <cell r="AQ74" t="e">
            <v>#VALUE!</v>
          </cell>
          <cell r="AR74">
            <v>0.1</v>
          </cell>
        </row>
        <row r="75">
          <cell r="AP75" t="str">
            <v>WI150</v>
          </cell>
          <cell r="AQ75" t="e">
            <v>#VALUE!</v>
          </cell>
          <cell r="AR75">
            <v>0.1</v>
          </cell>
        </row>
        <row r="76">
          <cell r="AP76" t="str">
            <v>WI151</v>
          </cell>
          <cell r="AQ76" t="e">
            <v>#VALUE!</v>
          </cell>
          <cell r="AR76">
            <v>0.05</v>
          </cell>
        </row>
        <row r="77">
          <cell r="AP77" t="str">
            <v>WI152</v>
          </cell>
          <cell r="AQ77" t="str">
            <v>PAYMENT BY THE GENERAL PROFESSIONAL PARTNERSHIPS (GPPS) TO ITS PARTNERS - IF GROSS INCOME FOR THE CURRENT YEAR DID NOT EXCEED P 720,000</v>
          </cell>
          <cell r="AR77">
            <v>0.1</v>
          </cell>
        </row>
        <row r="78">
          <cell r="AP78" t="str">
            <v>WI153</v>
          </cell>
          <cell r="AQ78" t="str">
            <v>PAYMENT BY THE GENERAL PROFESSIONAL PARTNERSHIPS (GPPS) TO ITS PARTNERS - IF GROSS INCOME EXCEEDS P 720,000</v>
          </cell>
          <cell r="AR78">
            <v>0.15</v>
          </cell>
        </row>
        <row r="79">
          <cell r="AP79" t="str">
            <v>WI156</v>
          </cell>
          <cell r="AQ79" t="str">
            <v>INCOME PAYMENTS MADE BY CREDIT CARD COMPANIES</v>
          </cell>
          <cell r="AR79">
            <v>5.0000000000000001E-3</v>
          </cell>
        </row>
        <row r="80">
          <cell r="AP80" t="str">
            <v>WI157</v>
          </cell>
          <cell r="AQ80" t="str">
            <v>INCOME PAYMENTS MADE BY THE GOVERNMENT AND GOVERNMENT-OWNED AND CONTROLLED CORPORATIONS (GOCCS) TO ITS LOCAL/RESIDENT SUPPLIERS OF SERVICES OTHER THAN THOSE COVERED BY OTHER RATES OF WITHHOLDING TAX</v>
          </cell>
          <cell r="AR80">
            <v>0.02</v>
          </cell>
        </row>
        <row r="81">
          <cell r="AP81" t="str">
            <v>WI158</v>
          </cell>
          <cell r="AQ81" t="str">
            <v>INCOME PAYMENT MADE BY TOP WITHHOLDING AGENTS TO THEIR LOCAL/RESIDENT SUPPLIER OF GOODS OTHER THAN THOSE COVERED BY OTHER RATES OF WITHHOLDING TAX</v>
          </cell>
          <cell r="AR81">
            <v>0.01</v>
          </cell>
        </row>
        <row r="82">
          <cell r="AP82" t="str">
            <v>WI159</v>
          </cell>
          <cell r="AQ82" t="str">
            <v>ADDITIONAL INCOME PAYMENTS TO GOVERNMENT PERSONNEL FROM IMPORTERS, SHIPPING AND AIRLINE COMPANIES OR THEIR AGENTS FOR OVERTIME SERVICES</v>
          </cell>
          <cell r="AR82">
            <v>0.15</v>
          </cell>
        </row>
        <row r="83">
          <cell r="AP83" t="str">
            <v>WI160</v>
          </cell>
          <cell r="AQ83" t="str">
            <v>INCOME PAYMENT MADE BY TOP WITHHOLDING AGENTS TO THEIR LOCAL/RESIDENT SUPPLIER OF SERVICES OTHER THAN THOSE COVERED BY OTHER RATES OF WITHHOLDING TAX</v>
          </cell>
          <cell r="AR83">
            <v>0.02</v>
          </cell>
        </row>
        <row r="84">
          <cell r="AP84" t="str">
            <v>WI515</v>
          </cell>
          <cell r="AQ84" t="e">
            <v>#VALUE!</v>
          </cell>
          <cell r="AR84">
            <v>0.05</v>
          </cell>
        </row>
        <row r="85">
          <cell r="AP85" t="str">
            <v>WI516</v>
          </cell>
          <cell r="AQ85" t="e">
            <v>#VALUE!</v>
          </cell>
          <cell r="AR85">
            <v>0.1</v>
          </cell>
        </row>
        <row r="86">
          <cell r="AP86" t="str">
            <v>WI530</v>
          </cell>
          <cell r="AQ86" t="str">
            <v>GROSS PAYMENTS TO EMBALMERS BY FUNERAL PARLORS</v>
          </cell>
          <cell r="AR86">
            <v>0.01</v>
          </cell>
        </row>
        <row r="87">
          <cell r="AP87" t="str">
            <v>WI535</v>
          </cell>
          <cell r="AQ87" t="str">
            <v>PAYMENTS MADE BY PRE-NEED COMPANIES TO FUNERAL PARLORS</v>
          </cell>
          <cell r="AR87">
            <v>0.01</v>
          </cell>
        </row>
        <row r="88">
          <cell r="AP88" t="str">
            <v>WI540</v>
          </cell>
          <cell r="AQ88" t="str">
            <v>TOLLING FEES PAID TO REFINERIES</v>
          </cell>
          <cell r="AR88">
            <v>0.05</v>
          </cell>
        </row>
        <row r="89">
          <cell r="AP89" t="str">
            <v>WI610</v>
          </cell>
          <cell r="AQ89" t="str">
            <v>INCOME PAYMENTS MADE TO SUPPLIERS OF AGRICULTURAL PRODUCTS IN EXCESS OF CUMULATIVE AMOUNT OF P 300,000 WITHIN THE SAME TAXABLE YEAR</v>
          </cell>
          <cell r="AR89">
            <v>0.01</v>
          </cell>
        </row>
        <row r="90">
          <cell r="AP90" t="str">
            <v>WI630</v>
          </cell>
          <cell r="AQ90" t="str">
            <v>INCOME PAYMENTS ON PURCHASES OF MINERALS, MINERAL PRODUCTS AND QUARRY RESOURCES, SUCH AS BUT NOT LIMITED TO SILVER, GOLD, MARBLE, GRANITE, GRAVEL, SAND, BOULDERS AND OTHER MINERAL PRODUCTS EXCEPT PURCHASES BY BANGKO SENTRAL NG PILIPINAS</v>
          </cell>
          <cell r="AR90">
            <v>0.05</v>
          </cell>
        </row>
        <row r="91">
          <cell r="AP91" t="str">
            <v>WI632</v>
          </cell>
          <cell r="AQ91" t="str">
            <v>INCOME PAYMENTS ON PURCHASES OF MINERALS, MINERAL PRODUCTS AND QUARRY RESOURCES BY BANGKO SENTRAL NG PILIPINAS (BSP) FROM GOLD MINERS/SUPPLIERS UNDER PD 1899, AS AMENDED BY RA NO. 7076</v>
          </cell>
          <cell r="AR91">
            <v>0.01</v>
          </cell>
        </row>
        <row r="92">
          <cell r="AP92" t="str">
            <v>WI640</v>
          </cell>
          <cell r="AQ92" t="str">
            <v>INCOME PAYMENTS MADE BY THE GOVERNMENT AND GOVERNMENT-OWNED AND CONTROLLED CORPORATIONS (GOCCS) TO ITS LOCAL/RESIDENT SUPPLIERS OF GOODS OTHER THAN THOSE COVERED BY OTHER RATES OF WITHHOLDING TAX</v>
          </cell>
          <cell r="AR92">
            <v>0.01</v>
          </cell>
        </row>
        <row r="93">
          <cell r="AP93" t="str">
            <v>WI650</v>
          </cell>
          <cell r="AQ93" t="str">
            <v>ON GROSS AMOUNT OF REFUND GIVEN BY MERALCO TO CUSTOMERS WITH ACTIVE CONTRACTS AS CLASSIFIED BY MERALCO</v>
          </cell>
          <cell r="AR93">
            <v>0.25</v>
          </cell>
        </row>
        <row r="94">
          <cell r="AP94" t="str">
            <v>WI651</v>
          </cell>
          <cell r="AQ94" t="str">
            <v>ON GROSS AMOUNT OF REFUND GIVEN BY MERALCO TO CUSTOMERS WITH TERMINATED CONTRACTS AS CLASSIFIED BY MERALCO</v>
          </cell>
          <cell r="AR94">
            <v>0.32</v>
          </cell>
        </row>
        <row r="95">
          <cell r="AP95" t="str">
            <v>WI660</v>
          </cell>
          <cell r="AQ95" t="e">
            <v>#VALUE!</v>
          </cell>
          <cell r="AR95">
            <v>0.1</v>
          </cell>
        </row>
        <row r="96">
          <cell r="AP96" t="str">
            <v>WI661</v>
          </cell>
          <cell r="AQ96" t="str">
            <v>ON GROSS AMOUNT OF INTEREST ON THE REFUND OF METER DEPOSIT WHETHER PAID DIRECTLY TO THE CUSTOMERS OR APPLIED AGAINST CUSTOMERS BILLINGS OF NON-RESIDENTIAL CUSTOMERS WHOSE MONTHLY ELECTRICITY CONSUMPTION EXCEEDS 200 KWH AS CLASSIFIED BY MERALCO</v>
          </cell>
          <cell r="AR96">
            <v>0.1</v>
          </cell>
        </row>
        <row r="97">
          <cell r="AP97" t="str">
            <v>WI662</v>
          </cell>
          <cell r="AQ97" t="e">
            <v>#VALUE!</v>
          </cell>
          <cell r="AR97">
            <v>0.1</v>
          </cell>
        </row>
        <row r="98">
          <cell r="AP98" t="str">
            <v>WI663</v>
          </cell>
          <cell r="AQ98" t="e">
            <v>#VALUE!</v>
          </cell>
          <cell r="AR98">
            <v>0.2</v>
          </cell>
        </row>
        <row r="99">
          <cell r="AP99" t="str">
            <v>WI680</v>
          </cell>
          <cell r="AQ99" t="e">
            <v>#VALUE!</v>
          </cell>
          <cell r="AR99">
            <v>0.05</v>
          </cell>
        </row>
        <row r="100">
          <cell r="AP100" t="str">
            <v>WI710</v>
          </cell>
          <cell r="AQ100" t="str">
            <v>INTEREST INCOME DERIVED FROM ANY OTHER DEBT INSTRUMENTS NOT WITHIN THE COVERAGE OF DEPOSIT SUBSTITUTES AND REVENUE REGULATIONS NO. 14-2012</v>
          </cell>
          <cell r="AR100">
            <v>0.2</v>
          </cell>
        </row>
        <row r="101">
          <cell r="AP101" t="str">
            <v>WI720</v>
          </cell>
          <cell r="AQ101" t="str">
            <v>INCOME PAYMENTS ON LOCALLY PRODUCED RAW SUGAR</v>
          </cell>
          <cell r="AR101">
            <v>0.01</v>
          </cell>
        </row>
      </sheetData>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BE29D-7A71-4CA0-8960-375E8F4A9B50}">
  <dimension ref="A1:AU111"/>
  <sheetViews>
    <sheetView tabSelected="1" zoomScale="99" zoomScaleNormal="180" workbookViewId="0">
      <selection activeCell="AQ18" sqref="AQ18"/>
    </sheetView>
  </sheetViews>
  <sheetFormatPr defaultColWidth="9.109375" defaultRowHeight="12"/>
  <cols>
    <col min="1" max="19" width="2.6640625" style="1" customWidth="1"/>
    <col min="20" max="20" width="3.109375" style="1" customWidth="1"/>
    <col min="21" max="40" width="2.6640625" style="1" customWidth="1"/>
    <col min="41" max="41" width="0.88671875" style="1" customWidth="1"/>
    <col min="42" max="42" width="2.6640625" style="1" customWidth="1"/>
    <col min="43" max="43" width="13.6640625" style="2" customWidth="1"/>
    <col min="44" max="45" width="13.6640625" style="3" customWidth="1"/>
    <col min="46" max="46" width="13.6640625" style="1" customWidth="1"/>
    <col min="47" max="47" width="15.6640625" style="1" customWidth="1"/>
    <col min="48" max="16384" width="9.109375" style="1"/>
  </cols>
  <sheetData>
    <row r="1" spans="1:45" ht="6" customHeight="1"/>
    <row r="2" spans="1:45" ht="11.25" customHeight="1">
      <c r="A2" s="4"/>
      <c r="B2" s="4"/>
      <c r="C2" s="4"/>
      <c r="D2" s="4"/>
      <c r="E2" s="4"/>
      <c r="F2" s="4"/>
      <c r="G2" s="4"/>
      <c r="H2" s="5" t="s">
        <v>0</v>
      </c>
      <c r="I2" s="5"/>
      <c r="J2" s="5"/>
      <c r="K2" s="5"/>
      <c r="L2" s="5"/>
      <c r="M2" s="5"/>
      <c r="N2" s="5"/>
      <c r="O2" s="5"/>
      <c r="P2" s="5"/>
      <c r="Q2" s="5"/>
      <c r="R2" s="5"/>
      <c r="S2" s="5"/>
      <c r="T2" s="5"/>
      <c r="U2" s="5"/>
      <c r="V2" s="5"/>
      <c r="W2" s="5"/>
      <c r="X2" s="5"/>
      <c r="Y2" s="5"/>
      <c r="Z2" s="5"/>
      <c r="AA2" s="5"/>
      <c r="AB2" s="5"/>
      <c r="AC2" s="5"/>
      <c r="AD2" s="5"/>
      <c r="AE2" s="5"/>
      <c r="AF2" s="5"/>
      <c r="AG2" s="5"/>
      <c r="AH2" s="6"/>
      <c r="AI2" s="6"/>
      <c r="AJ2" s="6"/>
      <c r="AK2" s="6"/>
      <c r="AL2" s="6"/>
      <c r="AM2" s="6"/>
      <c r="AN2" s="6"/>
      <c r="AO2" s="6"/>
      <c r="AQ2" s="7"/>
    </row>
    <row r="3" spans="1:45" ht="11.25" customHeight="1">
      <c r="A3" s="225" t="s">
        <v>50</v>
      </c>
      <c r="B3" s="226"/>
      <c r="C3" s="226"/>
      <c r="D3" s="224" t="s">
        <v>51</v>
      </c>
      <c r="E3" s="40"/>
      <c r="F3" s="4"/>
      <c r="G3" s="4"/>
      <c r="H3" s="5" t="s">
        <v>1</v>
      </c>
      <c r="I3" s="5"/>
      <c r="J3" s="5"/>
      <c r="K3" s="5"/>
      <c r="L3" s="5"/>
      <c r="M3" s="5"/>
      <c r="N3" s="5"/>
      <c r="O3" s="5"/>
      <c r="P3" s="5"/>
      <c r="Q3" s="5"/>
      <c r="R3" s="5"/>
      <c r="S3" s="5"/>
      <c r="T3" s="5"/>
      <c r="U3" s="5"/>
      <c r="V3" s="5"/>
      <c r="W3" s="5"/>
      <c r="X3" s="5"/>
      <c r="Y3" s="5"/>
      <c r="Z3" s="5"/>
      <c r="AA3" s="5"/>
      <c r="AB3" s="5"/>
      <c r="AC3" s="5"/>
      <c r="AD3" s="5"/>
      <c r="AE3" s="5"/>
      <c r="AF3" s="5"/>
      <c r="AG3" s="5"/>
      <c r="AH3" s="8"/>
      <c r="AI3" s="8"/>
      <c r="AJ3" s="8"/>
      <c r="AK3" s="8"/>
      <c r="AL3" s="8"/>
      <c r="AM3" s="8"/>
      <c r="AN3" s="8"/>
      <c r="AO3" s="8"/>
      <c r="AQ3" s="9"/>
    </row>
    <row r="4" spans="1:45" ht="13.5" customHeight="1" thickBot="1">
      <c r="A4" s="227"/>
      <c r="B4" s="227"/>
      <c r="C4" s="227"/>
      <c r="D4" s="49"/>
      <c r="E4" s="49"/>
      <c r="F4" s="10"/>
      <c r="G4" s="10"/>
      <c r="H4" s="11" t="s">
        <v>2</v>
      </c>
      <c r="I4" s="11"/>
      <c r="J4" s="11"/>
      <c r="K4" s="11"/>
      <c r="L4" s="11"/>
      <c r="M4" s="11"/>
      <c r="N4" s="11"/>
      <c r="O4" s="11"/>
      <c r="P4" s="11"/>
      <c r="Q4" s="11"/>
      <c r="R4" s="11"/>
      <c r="S4" s="11"/>
      <c r="T4" s="11"/>
      <c r="U4" s="11"/>
      <c r="V4" s="11"/>
      <c r="W4" s="11"/>
      <c r="X4" s="11"/>
      <c r="Y4" s="11"/>
      <c r="Z4" s="11"/>
      <c r="AA4" s="11"/>
      <c r="AB4" s="11"/>
      <c r="AC4" s="11"/>
      <c r="AD4" s="11"/>
      <c r="AE4" s="11"/>
      <c r="AF4" s="11"/>
      <c r="AG4" s="11"/>
      <c r="AH4" s="10"/>
      <c r="AI4" s="10"/>
      <c r="AJ4" s="10"/>
      <c r="AK4" s="10"/>
      <c r="AL4" s="10"/>
      <c r="AM4" s="10"/>
      <c r="AN4" s="10"/>
      <c r="AO4" s="10"/>
    </row>
    <row r="5" spans="1:45" ht="9.75" customHeight="1">
      <c r="A5" s="12"/>
      <c r="B5" s="223" t="s">
        <v>49</v>
      </c>
      <c r="C5" s="223"/>
      <c r="D5" s="223"/>
      <c r="E5" s="223"/>
      <c r="F5" s="221"/>
      <c r="G5" s="222"/>
      <c r="H5" s="13"/>
      <c r="I5" s="13"/>
      <c r="J5" s="13"/>
      <c r="K5" s="13"/>
      <c r="L5" s="14" t="s">
        <v>3</v>
      </c>
      <c r="M5" s="14"/>
      <c r="N5" s="14"/>
      <c r="O5" s="14"/>
      <c r="P5" s="14"/>
      <c r="Q5" s="14"/>
      <c r="R5" s="14"/>
      <c r="S5" s="14"/>
      <c r="T5" s="14"/>
      <c r="U5" s="14"/>
      <c r="V5" s="14"/>
      <c r="W5" s="14"/>
      <c r="X5" s="14"/>
      <c r="Y5" s="14"/>
      <c r="Z5" s="14"/>
      <c r="AA5" s="14"/>
      <c r="AB5" s="14"/>
      <c r="AC5" s="13"/>
      <c r="AD5" s="15"/>
      <c r="AE5" s="13"/>
      <c r="AF5" s="13"/>
      <c r="AG5" s="13"/>
      <c r="AH5" s="13"/>
      <c r="AI5" s="13"/>
      <c r="AJ5" s="13"/>
      <c r="AK5" s="13"/>
      <c r="AL5" s="13"/>
      <c r="AM5" s="13"/>
      <c r="AN5" s="13"/>
      <c r="AO5" s="16"/>
    </row>
    <row r="6" spans="1:45" ht="9.75" customHeight="1">
      <c r="A6" s="17"/>
      <c r="B6" s="229">
        <v>2307</v>
      </c>
      <c r="C6" s="229"/>
      <c r="D6" s="229"/>
      <c r="E6" s="229"/>
      <c r="F6" s="18"/>
      <c r="G6" s="19"/>
      <c r="H6" s="18"/>
      <c r="I6" s="18"/>
      <c r="J6" s="18"/>
      <c r="K6" s="18"/>
      <c r="L6" s="20"/>
      <c r="M6" s="20"/>
      <c r="N6" s="20"/>
      <c r="O6" s="20"/>
      <c r="P6" s="20"/>
      <c r="Q6" s="20"/>
      <c r="R6" s="20"/>
      <c r="S6" s="20"/>
      <c r="T6" s="20"/>
      <c r="U6" s="20"/>
      <c r="V6" s="20"/>
      <c r="W6" s="20"/>
      <c r="X6" s="20"/>
      <c r="Y6" s="20"/>
      <c r="Z6" s="20"/>
      <c r="AA6" s="20"/>
      <c r="AB6" s="20"/>
      <c r="AC6" s="18"/>
      <c r="AD6" s="21"/>
      <c r="AE6" s="18"/>
      <c r="AF6" s="18"/>
      <c r="AG6" s="18"/>
      <c r="AH6" s="18"/>
      <c r="AI6" s="18"/>
      <c r="AJ6" s="18"/>
      <c r="AK6" s="18"/>
      <c r="AL6" s="18"/>
      <c r="AM6" s="18"/>
      <c r="AN6" s="18"/>
      <c r="AO6" s="22"/>
    </row>
    <row r="7" spans="1:45" ht="9.75" customHeight="1">
      <c r="A7" s="17"/>
      <c r="B7" s="229"/>
      <c r="C7" s="229"/>
      <c r="D7" s="229"/>
      <c r="E7" s="229"/>
      <c r="F7" s="18"/>
      <c r="G7" s="19"/>
      <c r="H7" s="18"/>
      <c r="I7" s="18"/>
      <c r="J7" s="18"/>
      <c r="K7" s="18"/>
      <c r="L7" s="20"/>
      <c r="M7" s="20"/>
      <c r="N7" s="20"/>
      <c r="O7" s="20"/>
      <c r="P7" s="20"/>
      <c r="Q7" s="20"/>
      <c r="R7" s="20"/>
      <c r="S7" s="20"/>
      <c r="T7" s="20"/>
      <c r="U7" s="20"/>
      <c r="V7" s="20"/>
      <c r="W7" s="20"/>
      <c r="X7" s="20"/>
      <c r="Y7" s="20"/>
      <c r="Z7" s="20"/>
      <c r="AA7" s="20"/>
      <c r="AB7" s="20"/>
      <c r="AC7" s="18"/>
      <c r="AD7" s="21"/>
      <c r="AE7" s="18"/>
      <c r="AF7" s="18"/>
      <c r="AG7" s="18"/>
      <c r="AH7" s="18"/>
      <c r="AI7" s="18"/>
      <c r="AJ7" s="18"/>
      <c r="AK7" s="18"/>
      <c r="AL7" s="18"/>
      <c r="AM7" s="18"/>
      <c r="AN7" s="18"/>
      <c r="AO7" s="22"/>
    </row>
    <row r="8" spans="1:45" ht="9.75" customHeight="1">
      <c r="A8" s="17"/>
      <c r="B8" s="229"/>
      <c r="C8" s="229"/>
      <c r="D8" s="229"/>
      <c r="E8" s="229"/>
      <c r="F8" s="18"/>
      <c r="G8" s="19"/>
      <c r="H8" s="18"/>
      <c r="I8" s="18"/>
      <c r="J8" s="18"/>
      <c r="K8" s="18"/>
      <c r="L8" s="20"/>
      <c r="M8" s="20"/>
      <c r="N8" s="20"/>
      <c r="O8" s="20"/>
      <c r="P8" s="20"/>
      <c r="Q8" s="20"/>
      <c r="R8" s="20"/>
      <c r="S8" s="20"/>
      <c r="T8" s="20"/>
      <c r="U8" s="20"/>
      <c r="V8" s="20"/>
      <c r="W8" s="20"/>
      <c r="X8" s="20"/>
      <c r="Y8" s="20"/>
      <c r="Z8" s="20"/>
      <c r="AA8" s="20"/>
      <c r="AB8" s="20"/>
      <c r="AC8" s="18"/>
      <c r="AD8" s="21"/>
      <c r="AE8" s="18"/>
      <c r="AF8" s="18"/>
      <c r="AG8" s="18"/>
      <c r="AH8" s="18"/>
      <c r="AI8" s="18"/>
      <c r="AJ8" s="18"/>
      <c r="AK8" s="18"/>
      <c r="AL8" s="18"/>
      <c r="AM8" s="18"/>
      <c r="AN8" s="18"/>
      <c r="AO8" s="22"/>
    </row>
    <row r="9" spans="1:45" ht="9.75" customHeight="1" thickBot="1">
      <c r="A9" s="218" t="s">
        <v>48</v>
      </c>
      <c r="B9" s="219"/>
      <c r="C9" s="219"/>
      <c r="D9" s="219"/>
      <c r="E9" s="219"/>
      <c r="F9" s="219"/>
      <c r="G9" s="220"/>
      <c r="H9" s="23"/>
      <c r="I9" s="24"/>
      <c r="J9" s="24"/>
      <c r="K9" s="24"/>
      <c r="L9" s="25"/>
      <c r="M9" s="25"/>
      <c r="N9" s="25"/>
      <c r="O9" s="25"/>
      <c r="P9" s="25"/>
      <c r="Q9" s="25"/>
      <c r="R9" s="25"/>
      <c r="S9" s="25"/>
      <c r="T9" s="25"/>
      <c r="U9" s="25"/>
      <c r="V9" s="25"/>
      <c r="W9" s="25"/>
      <c r="X9" s="25"/>
      <c r="Y9" s="25"/>
      <c r="Z9" s="25"/>
      <c r="AA9" s="25"/>
      <c r="AB9" s="25"/>
      <c r="AC9" s="26"/>
      <c r="AD9" s="27"/>
      <c r="AH9" s="228" t="s">
        <v>52</v>
      </c>
      <c r="AI9" s="228"/>
      <c r="AJ9" s="228"/>
      <c r="AK9" s="228"/>
      <c r="AL9" s="228"/>
      <c r="AM9" s="228"/>
      <c r="AN9" s="228"/>
      <c r="AO9" s="28"/>
    </row>
    <row r="10" spans="1:45" ht="10.5" customHeight="1" thickBot="1">
      <c r="A10" s="29" t="s">
        <v>4</v>
      </c>
      <c r="B10" s="30"/>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1"/>
    </row>
    <row r="11" spans="1:45" s="3" customFormat="1" ht="3" customHeight="1">
      <c r="A11" s="32">
        <v>1</v>
      </c>
      <c r="B11" s="33" t="s">
        <v>5</v>
      </c>
      <c r="C11" s="33"/>
      <c r="D11" s="33"/>
      <c r="E11" s="33"/>
      <c r="F11" s="34"/>
      <c r="G11" s="34"/>
      <c r="H11" s="35" t="s">
        <v>6</v>
      </c>
      <c r="I11" s="35"/>
      <c r="J11" s="34"/>
      <c r="K11" s="34"/>
      <c r="L11" s="34"/>
      <c r="M11" s="34"/>
      <c r="N11" s="34"/>
      <c r="O11" s="34"/>
      <c r="P11" s="34"/>
      <c r="Q11" s="34"/>
      <c r="R11" s="36" t="s">
        <v>7</v>
      </c>
      <c r="S11" s="36"/>
      <c r="T11" s="36"/>
      <c r="U11" s="36"/>
      <c r="V11" s="34"/>
      <c r="W11" s="34"/>
      <c r="X11" s="34"/>
      <c r="Y11" s="33" t="s">
        <v>8</v>
      </c>
      <c r="Z11" s="33"/>
      <c r="AA11" s="34"/>
      <c r="AB11" s="34"/>
      <c r="AC11" s="34"/>
      <c r="AD11" s="34"/>
      <c r="AE11" s="34"/>
      <c r="AF11" s="34"/>
      <c r="AG11" s="34"/>
      <c r="AH11" s="34"/>
      <c r="AI11" s="37" t="s">
        <v>7</v>
      </c>
      <c r="AJ11" s="37"/>
      <c r="AK11" s="37"/>
      <c r="AL11" s="37"/>
      <c r="AM11" s="37"/>
      <c r="AN11" s="37"/>
      <c r="AO11" s="38"/>
      <c r="AP11" s="1"/>
      <c r="AQ11" s="2"/>
    </row>
    <row r="12" spans="1:45" s="3" customFormat="1" ht="5.25" customHeight="1">
      <c r="A12" s="39"/>
      <c r="B12" s="40"/>
      <c r="C12" s="40"/>
      <c r="D12" s="40"/>
      <c r="E12" s="40"/>
      <c r="F12" s="1"/>
      <c r="G12" s="1"/>
      <c r="H12" s="41"/>
      <c r="I12" s="41"/>
      <c r="J12" s="42"/>
      <c r="K12" s="43"/>
      <c r="L12" s="42"/>
      <c r="M12" s="43"/>
      <c r="N12" s="42"/>
      <c r="O12" s="43"/>
      <c r="P12" s="43"/>
      <c r="Q12" s="44"/>
      <c r="R12" s="45"/>
      <c r="S12" s="45"/>
      <c r="T12" s="45"/>
      <c r="U12" s="45"/>
      <c r="V12" s="1"/>
      <c r="W12" s="1"/>
      <c r="X12" s="1"/>
      <c r="Y12" s="40"/>
      <c r="Z12" s="40"/>
      <c r="AA12" s="42"/>
      <c r="AB12" s="43"/>
      <c r="AC12" s="42"/>
      <c r="AD12" s="43"/>
      <c r="AE12" s="42"/>
      <c r="AF12" s="43"/>
      <c r="AG12" s="43"/>
      <c r="AH12" s="44"/>
      <c r="AI12" s="46"/>
      <c r="AJ12" s="46"/>
      <c r="AK12" s="46"/>
      <c r="AL12" s="46"/>
      <c r="AM12" s="46"/>
      <c r="AN12" s="46"/>
      <c r="AO12" s="47"/>
      <c r="AP12" s="1"/>
      <c r="AQ12" s="2"/>
    </row>
    <row r="13" spans="1:45" s="3" customFormat="1" ht="16.350000000000001" customHeight="1" thickBot="1">
      <c r="A13" s="48"/>
      <c r="B13" s="49"/>
      <c r="C13" s="49"/>
      <c r="D13" s="49"/>
      <c r="E13" s="49"/>
      <c r="F13" s="24"/>
      <c r="G13" s="24"/>
      <c r="H13" s="50"/>
      <c r="I13" s="50"/>
      <c r="J13" s="51">
        <v>0</v>
      </c>
      <c r="K13" s="51">
        <v>4</v>
      </c>
      <c r="L13" s="52" t="str">
        <f>MID(AQ13,7,1)</f>
        <v>0</v>
      </c>
      <c r="M13" s="53" t="str">
        <f>MID(AQ13,8,1)</f>
        <v>1</v>
      </c>
      <c r="N13" s="52" t="str">
        <f>MID(AQ13,1,1)</f>
        <v>2</v>
      </c>
      <c r="O13" s="53" t="str">
        <f>MID(AQ13,2,1)</f>
        <v>0</v>
      </c>
      <c r="P13" s="52" t="str">
        <f>MID(AQ13,3,1)</f>
        <v>2</v>
      </c>
      <c r="Q13" s="54">
        <v>6</v>
      </c>
      <c r="R13" s="55"/>
      <c r="S13" s="55"/>
      <c r="T13" s="55"/>
      <c r="U13" s="55"/>
      <c r="V13" s="24"/>
      <c r="W13" s="24"/>
      <c r="X13" s="24"/>
      <c r="Y13" s="49"/>
      <c r="Z13" s="49"/>
      <c r="AA13" s="51">
        <v>0</v>
      </c>
      <c r="AB13" s="51">
        <v>6</v>
      </c>
      <c r="AC13" s="52" t="str">
        <f>MID(AR13,7,1)</f>
        <v>3</v>
      </c>
      <c r="AD13" s="53">
        <v>0</v>
      </c>
      <c r="AE13" s="52" t="str">
        <f>MID(AR13,1,1)</f>
        <v>2</v>
      </c>
      <c r="AF13" s="53" t="str">
        <f>MID(AR13,2,1)</f>
        <v>0</v>
      </c>
      <c r="AG13" s="52" t="str">
        <f>MID(AR13,3,1)</f>
        <v>2</v>
      </c>
      <c r="AH13" s="54">
        <v>6</v>
      </c>
      <c r="AI13" s="56"/>
      <c r="AJ13" s="56"/>
      <c r="AK13" s="56"/>
      <c r="AL13" s="56"/>
      <c r="AM13" s="56"/>
      <c r="AN13" s="56"/>
      <c r="AO13" s="57"/>
      <c r="AP13" s="1"/>
      <c r="AQ13" s="58" t="s">
        <v>9</v>
      </c>
      <c r="AR13" s="58" t="str">
        <f>VLOOKUP(AQ13,[1]Page2!AS1:AT16,2)</f>
        <v>20250930</v>
      </c>
      <c r="AS13" s="59"/>
    </row>
    <row r="14" spans="1:45" s="3" customFormat="1" ht="10.5" customHeight="1" thickBot="1">
      <c r="A14" s="60" t="s">
        <v>10</v>
      </c>
      <c r="B14" s="61"/>
      <c r="C14" s="61"/>
      <c r="D14" s="61"/>
      <c r="E14" s="61"/>
      <c r="F14" s="61"/>
      <c r="G14" s="61"/>
      <c r="H14" s="61"/>
      <c r="I14" s="61"/>
      <c r="J14" s="61"/>
      <c r="K14" s="61"/>
      <c r="L14" s="61"/>
      <c r="M14" s="61"/>
      <c r="N14" s="61"/>
      <c r="O14" s="61"/>
      <c r="P14" s="61"/>
      <c r="Q14" s="61"/>
      <c r="R14" s="61"/>
      <c r="S14" s="61"/>
      <c r="T14" s="61"/>
      <c r="U14" s="61"/>
      <c r="V14" s="61"/>
      <c r="W14" s="61"/>
      <c r="X14" s="61"/>
      <c r="Y14" s="61"/>
      <c r="Z14" s="61"/>
      <c r="AA14" s="61"/>
      <c r="AB14" s="61"/>
      <c r="AC14" s="61"/>
      <c r="AD14" s="61"/>
      <c r="AE14" s="61"/>
      <c r="AF14" s="61"/>
      <c r="AG14" s="61"/>
      <c r="AH14" s="61"/>
      <c r="AI14" s="61"/>
      <c r="AJ14" s="61"/>
      <c r="AK14" s="61"/>
      <c r="AL14" s="61"/>
      <c r="AM14" s="61"/>
      <c r="AN14" s="61"/>
      <c r="AO14" s="62"/>
      <c r="AP14" s="1"/>
      <c r="AQ14" s="2"/>
    </row>
    <row r="15" spans="1:45" s="3" customFormat="1" ht="3" customHeight="1">
      <c r="A15" s="32">
        <v>2</v>
      </c>
      <c r="B15" s="63" t="s">
        <v>11</v>
      </c>
      <c r="C15" s="63"/>
      <c r="D15" s="63"/>
      <c r="E15" s="63"/>
      <c r="F15" s="63"/>
      <c r="G15" s="63"/>
      <c r="H15" s="63"/>
      <c r="I15" s="63"/>
      <c r="J15" s="63"/>
      <c r="K15" s="63"/>
      <c r="L15" s="63"/>
      <c r="M15" s="63"/>
      <c r="N15" s="34"/>
      <c r="O15" s="34"/>
      <c r="P15" s="34"/>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64"/>
      <c r="AP15" s="1"/>
      <c r="AQ15" s="65"/>
    </row>
    <row r="16" spans="1:45" s="3" customFormat="1" ht="5.25" customHeight="1">
      <c r="A16" s="39"/>
      <c r="B16" s="66"/>
      <c r="C16" s="66"/>
      <c r="D16" s="66"/>
      <c r="E16" s="66"/>
      <c r="F16" s="66"/>
      <c r="G16" s="66"/>
      <c r="H16" s="66"/>
      <c r="I16" s="66"/>
      <c r="J16" s="66"/>
      <c r="K16" s="66"/>
      <c r="L16" s="66"/>
      <c r="M16" s="66"/>
      <c r="N16" s="42"/>
      <c r="O16" s="43"/>
      <c r="P16" s="43"/>
      <c r="Q16" s="67"/>
      <c r="R16" s="42"/>
      <c r="S16" s="43"/>
      <c r="T16" s="43"/>
      <c r="U16" s="67"/>
      <c r="V16" s="42"/>
      <c r="W16" s="43"/>
      <c r="X16" s="43"/>
      <c r="Y16" s="67"/>
      <c r="Z16" s="42"/>
      <c r="AA16" s="43"/>
      <c r="AB16" s="43"/>
      <c r="AC16" s="43"/>
      <c r="AD16" s="44"/>
      <c r="AE16" s="1"/>
      <c r="AF16" s="1"/>
      <c r="AG16" s="1"/>
      <c r="AH16" s="1"/>
      <c r="AI16" s="1"/>
      <c r="AJ16" s="1"/>
      <c r="AK16" s="1"/>
      <c r="AL16" s="1"/>
      <c r="AM16" s="1"/>
      <c r="AN16" s="1"/>
      <c r="AO16" s="28"/>
      <c r="AP16" s="1"/>
      <c r="AQ16" s="65"/>
      <c r="AR16" s="68"/>
    </row>
    <row r="17" spans="1:47" s="3" customFormat="1" ht="16.350000000000001" customHeight="1">
      <c r="A17" s="69"/>
      <c r="B17" s="70"/>
      <c r="C17" s="70"/>
      <c r="D17" s="70"/>
      <c r="E17" s="70"/>
      <c r="F17" s="70"/>
      <c r="G17" s="70"/>
      <c r="H17" s="70"/>
      <c r="I17" s="70"/>
      <c r="J17" s="70"/>
      <c r="K17" s="70"/>
      <c r="L17" s="70"/>
      <c r="M17" s="70"/>
      <c r="N17" s="71">
        <v>0</v>
      </c>
      <c r="O17" s="72">
        <v>0</v>
      </c>
      <c r="P17" s="71">
        <v>9</v>
      </c>
      <c r="Q17" s="73" t="s">
        <v>12</v>
      </c>
      <c r="R17" s="71">
        <v>3</v>
      </c>
      <c r="S17" s="72">
        <v>9</v>
      </c>
      <c r="T17" s="71">
        <v>8</v>
      </c>
      <c r="U17" s="73" t="s">
        <v>12</v>
      </c>
      <c r="V17" s="71">
        <v>8</v>
      </c>
      <c r="W17" s="72">
        <v>1</v>
      </c>
      <c r="X17" s="71">
        <v>6</v>
      </c>
      <c r="Y17" s="73" t="s">
        <v>12</v>
      </c>
      <c r="Z17" s="71">
        <v>0</v>
      </c>
      <c r="AA17" s="72">
        <v>0</v>
      </c>
      <c r="AB17" s="71">
        <v>0</v>
      </c>
      <c r="AC17" s="71">
        <v>0</v>
      </c>
      <c r="AD17" s="71">
        <v>0</v>
      </c>
      <c r="AE17" s="74"/>
      <c r="AF17" s="74"/>
      <c r="AG17" s="74"/>
      <c r="AH17" s="74"/>
      <c r="AI17" s="74"/>
      <c r="AJ17" s="74"/>
      <c r="AK17" s="74"/>
      <c r="AL17" s="74"/>
      <c r="AM17" s="74"/>
      <c r="AN17" s="74"/>
      <c r="AO17" s="75"/>
      <c r="AP17" s="1"/>
      <c r="AQ17" s="65"/>
      <c r="AR17" s="76"/>
    </row>
    <row r="18" spans="1:47" s="3" customFormat="1" ht="10.5" customHeight="1">
      <c r="A18" s="77">
        <v>3</v>
      </c>
      <c r="B18" s="1" t="s">
        <v>13</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1"/>
      <c r="AI18" s="1"/>
      <c r="AJ18" s="1"/>
      <c r="AK18" s="1"/>
      <c r="AL18" s="1"/>
      <c r="AM18" s="1"/>
      <c r="AN18" s="1"/>
      <c r="AO18" s="28"/>
      <c r="AP18" s="1"/>
      <c r="AQ18" s="2"/>
    </row>
    <row r="19" spans="1:47" s="3" customFormat="1" ht="9.6" customHeight="1">
      <c r="A19" s="78"/>
      <c r="B19" s="79" t="s">
        <v>14</v>
      </c>
      <c r="C19" s="80"/>
      <c r="D19" s="80"/>
      <c r="E19" s="80"/>
      <c r="F19" s="80"/>
      <c r="G19" s="80"/>
      <c r="H19" s="80"/>
      <c r="I19" s="80"/>
      <c r="J19" s="80"/>
      <c r="K19" s="80"/>
      <c r="L19" s="80"/>
      <c r="M19" s="80"/>
      <c r="N19" s="80"/>
      <c r="O19" s="80"/>
      <c r="P19" s="80"/>
      <c r="Q19" s="80"/>
      <c r="R19" s="80"/>
      <c r="S19" s="80"/>
      <c r="T19" s="80"/>
      <c r="U19" s="80"/>
      <c r="V19" s="80"/>
      <c r="W19" s="80"/>
      <c r="X19" s="80"/>
      <c r="Y19" s="80"/>
      <c r="Z19" s="80"/>
      <c r="AA19" s="80"/>
      <c r="AB19" s="80"/>
      <c r="AC19" s="80"/>
      <c r="AD19" s="80"/>
      <c r="AE19" s="80"/>
      <c r="AF19" s="80"/>
      <c r="AG19" s="80"/>
      <c r="AH19" s="80"/>
      <c r="AI19" s="80"/>
      <c r="AJ19" s="80"/>
      <c r="AK19" s="80"/>
      <c r="AL19" s="80"/>
      <c r="AM19" s="80"/>
      <c r="AN19" s="81"/>
      <c r="AO19" s="28"/>
      <c r="AP19" s="1"/>
      <c r="AQ19" s="82"/>
      <c r="AR19" s="82"/>
      <c r="AS19" s="82"/>
      <c r="AT19" s="82"/>
    </row>
    <row r="20" spans="1:47" s="3" customFormat="1" ht="9.6" customHeight="1">
      <c r="A20" s="78"/>
      <c r="B20" s="83"/>
      <c r="C20" s="84"/>
      <c r="D20" s="84"/>
      <c r="E20" s="84"/>
      <c r="F20" s="84"/>
      <c r="G20" s="84"/>
      <c r="H20" s="84"/>
      <c r="I20" s="84"/>
      <c r="J20" s="84"/>
      <c r="K20" s="84"/>
      <c r="L20" s="84"/>
      <c r="M20" s="84"/>
      <c r="N20" s="84"/>
      <c r="O20" s="84"/>
      <c r="P20" s="84"/>
      <c r="Q20" s="84"/>
      <c r="R20" s="84"/>
      <c r="S20" s="84"/>
      <c r="T20" s="84"/>
      <c r="U20" s="84"/>
      <c r="V20" s="84"/>
      <c r="W20" s="84"/>
      <c r="X20" s="84"/>
      <c r="Y20" s="84"/>
      <c r="Z20" s="84"/>
      <c r="AA20" s="84"/>
      <c r="AB20" s="84"/>
      <c r="AC20" s="84"/>
      <c r="AD20" s="84"/>
      <c r="AE20" s="84"/>
      <c r="AF20" s="84"/>
      <c r="AG20" s="84"/>
      <c r="AH20" s="84"/>
      <c r="AI20" s="84"/>
      <c r="AJ20" s="84"/>
      <c r="AK20" s="84"/>
      <c r="AL20" s="84"/>
      <c r="AM20" s="84"/>
      <c r="AN20" s="85"/>
      <c r="AO20" s="28"/>
      <c r="AP20" s="1"/>
      <c r="AQ20" s="82"/>
      <c r="AR20" s="82"/>
      <c r="AS20" s="82"/>
      <c r="AT20" s="82"/>
    </row>
    <row r="21" spans="1:47" s="3" customFormat="1" ht="3" customHeight="1">
      <c r="A21" s="78"/>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1"/>
      <c r="AI21" s="1"/>
      <c r="AJ21" s="1"/>
      <c r="AK21" s="1"/>
      <c r="AL21" s="1"/>
      <c r="AM21" s="1"/>
      <c r="AN21" s="1"/>
      <c r="AO21" s="28"/>
      <c r="AP21" s="1"/>
      <c r="AQ21" s="2"/>
    </row>
    <row r="22" spans="1:47" s="3" customFormat="1" ht="10.5" customHeight="1">
      <c r="A22" s="77">
        <v>4</v>
      </c>
      <c r="B22" s="1" t="s">
        <v>15</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1"/>
      <c r="AI22" s="1"/>
      <c r="AJ22" s="1"/>
      <c r="AK22" s="86" t="s">
        <v>16</v>
      </c>
      <c r="AL22" s="1" t="s">
        <v>17</v>
      </c>
      <c r="AM22" s="1"/>
      <c r="AN22" s="1"/>
      <c r="AO22" s="28"/>
      <c r="AP22" s="1"/>
      <c r="AQ22" s="2"/>
    </row>
    <row r="23" spans="1:47" s="3" customFormat="1" ht="3.6" customHeight="1">
      <c r="A23" s="78"/>
      <c r="B23" s="87" t="s">
        <v>18</v>
      </c>
      <c r="C23" s="88"/>
      <c r="D23" s="88"/>
      <c r="E23" s="88"/>
      <c r="F23" s="88"/>
      <c r="G23" s="88"/>
      <c r="H23" s="88"/>
      <c r="I23" s="88"/>
      <c r="J23" s="88"/>
      <c r="K23" s="88"/>
      <c r="L23" s="88"/>
      <c r="M23" s="88"/>
      <c r="N23" s="88"/>
      <c r="O23" s="88"/>
      <c r="P23" s="88"/>
      <c r="Q23" s="88"/>
      <c r="R23" s="88"/>
      <c r="S23" s="88"/>
      <c r="T23" s="88"/>
      <c r="U23" s="88"/>
      <c r="V23" s="88"/>
      <c r="W23" s="88"/>
      <c r="X23" s="88"/>
      <c r="Y23" s="88"/>
      <c r="Z23" s="88"/>
      <c r="AA23" s="88"/>
      <c r="AB23" s="88"/>
      <c r="AC23" s="88"/>
      <c r="AD23" s="88"/>
      <c r="AE23" s="88"/>
      <c r="AF23" s="88"/>
      <c r="AG23" s="88"/>
      <c r="AH23" s="88"/>
      <c r="AI23" s="89"/>
      <c r="AJ23" s="1"/>
      <c r="AK23" s="42"/>
      <c r="AL23" s="43"/>
      <c r="AM23" s="43"/>
      <c r="AN23" s="44"/>
      <c r="AO23" s="28"/>
      <c r="AP23" s="1"/>
      <c r="AQ23" s="82" t="str">
        <f>IFERROR(VLOOKUP($AQ$15,#REF!,3,0),"")</f>
        <v/>
      </c>
      <c r="AR23" s="82"/>
      <c r="AS23" s="82"/>
      <c r="AT23" s="82"/>
      <c r="AU23" s="82"/>
    </row>
    <row r="24" spans="1:47" s="3" customFormat="1" ht="7.5" customHeight="1">
      <c r="A24" s="78"/>
      <c r="B24" s="90"/>
      <c r="C24" s="91"/>
      <c r="D24" s="91"/>
      <c r="E24" s="91"/>
      <c r="F24" s="91"/>
      <c r="G24" s="91"/>
      <c r="H24" s="91"/>
      <c r="I24" s="91"/>
      <c r="J24" s="91"/>
      <c r="K24" s="91"/>
      <c r="L24" s="91"/>
      <c r="M24" s="91"/>
      <c r="N24" s="91"/>
      <c r="O24" s="91"/>
      <c r="P24" s="91"/>
      <c r="Q24" s="91"/>
      <c r="R24" s="91"/>
      <c r="S24" s="91"/>
      <c r="T24" s="91"/>
      <c r="U24" s="91"/>
      <c r="V24" s="91"/>
      <c r="W24" s="91"/>
      <c r="X24" s="91"/>
      <c r="Y24" s="91"/>
      <c r="Z24" s="91"/>
      <c r="AA24" s="91"/>
      <c r="AB24" s="91"/>
      <c r="AC24" s="91"/>
      <c r="AD24" s="91"/>
      <c r="AE24" s="91"/>
      <c r="AF24" s="91"/>
      <c r="AG24" s="91"/>
      <c r="AH24" s="91"/>
      <c r="AI24" s="92"/>
      <c r="AJ24" s="1"/>
      <c r="AK24" s="93">
        <v>1</v>
      </c>
      <c r="AL24" s="94">
        <v>1</v>
      </c>
      <c r="AM24" s="95">
        <v>0</v>
      </c>
      <c r="AN24" s="94">
        <v>1</v>
      </c>
      <c r="AO24" s="28"/>
      <c r="AP24" s="1"/>
      <c r="AQ24" s="82"/>
      <c r="AR24" s="82"/>
      <c r="AS24" s="82"/>
      <c r="AT24" s="82"/>
      <c r="AU24" s="82"/>
    </row>
    <row r="25" spans="1:47" s="3" customFormat="1" ht="7.5" customHeight="1">
      <c r="A25" s="78"/>
      <c r="B25" s="96"/>
      <c r="C25" s="97"/>
      <c r="D25" s="97"/>
      <c r="E25" s="97"/>
      <c r="F25" s="97"/>
      <c r="G25" s="97"/>
      <c r="H25" s="97"/>
      <c r="I25" s="97"/>
      <c r="J25" s="97"/>
      <c r="K25" s="97"/>
      <c r="L25" s="97"/>
      <c r="M25" s="97"/>
      <c r="N25" s="97"/>
      <c r="O25" s="97"/>
      <c r="P25" s="97"/>
      <c r="Q25" s="97"/>
      <c r="R25" s="97"/>
      <c r="S25" s="97"/>
      <c r="T25" s="97"/>
      <c r="U25" s="97"/>
      <c r="V25" s="97"/>
      <c r="W25" s="97"/>
      <c r="X25" s="97"/>
      <c r="Y25" s="97"/>
      <c r="Z25" s="97"/>
      <c r="AA25" s="97"/>
      <c r="AB25" s="97"/>
      <c r="AC25" s="97"/>
      <c r="AD25" s="97"/>
      <c r="AE25" s="97"/>
      <c r="AF25" s="97"/>
      <c r="AG25" s="97"/>
      <c r="AH25" s="97"/>
      <c r="AI25" s="98"/>
      <c r="AJ25" s="1"/>
      <c r="AK25" s="99"/>
      <c r="AL25" s="100"/>
      <c r="AM25" s="101"/>
      <c r="AN25" s="100"/>
      <c r="AO25" s="28"/>
      <c r="AP25" s="1"/>
      <c r="AQ25" s="82"/>
      <c r="AR25" s="82"/>
      <c r="AS25" s="82"/>
      <c r="AT25" s="82"/>
      <c r="AU25" s="82"/>
    </row>
    <row r="26" spans="1:47" s="3" customFormat="1" ht="3" customHeight="1">
      <c r="A26" s="78"/>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28"/>
      <c r="AP26" s="1"/>
      <c r="AQ26" s="2"/>
    </row>
    <row r="27" spans="1:47" s="3" customFormat="1" ht="10.5" customHeight="1">
      <c r="A27" s="77">
        <v>5</v>
      </c>
      <c r="B27" s="1" t="s">
        <v>19</v>
      </c>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28"/>
      <c r="AP27" s="1"/>
      <c r="AQ27" s="2"/>
    </row>
    <row r="28" spans="1:47" s="3" customFormat="1" ht="10.5" customHeight="1">
      <c r="A28" s="78"/>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28"/>
      <c r="AP28" s="1"/>
      <c r="AQ28" s="2"/>
    </row>
    <row r="29" spans="1:47" s="3" customFormat="1" ht="10.5" customHeight="1" thickBot="1">
      <c r="A29" s="78"/>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28"/>
      <c r="AP29" s="1"/>
      <c r="AQ29" s="2"/>
    </row>
    <row r="30" spans="1:47" s="3" customFormat="1" ht="10.5" customHeight="1" thickBot="1">
      <c r="A30" s="60" t="s">
        <v>20</v>
      </c>
      <c r="B30" s="61"/>
      <c r="C30" s="61"/>
      <c r="D30" s="61"/>
      <c r="E30" s="61"/>
      <c r="F30" s="61"/>
      <c r="G30" s="61"/>
      <c r="H30" s="61"/>
      <c r="I30" s="61"/>
      <c r="J30" s="61"/>
      <c r="K30" s="61"/>
      <c r="L30" s="61"/>
      <c r="M30" s="61"/>
      <c r="N30" s="61"/>
      <c r="O30" s="61"/>
      <c r="P30" s="61"/>
      <c r="Q30" s="61"/>
      <c r="R30" s="61"/>
      <c r="S30" s="61"/>
      <c r="T30" s="61"/>
      <c r="U30" s="61"/>
      <c r="V30" s="61"/>
      <c r="W30" s="61"/>
      <c r="X30" s="61"/>
      <c r="Y30" s="61"/>
      <c r="Z30" s="61"/>
      <c r="AA30" s="61"/>
      <c r="AB30" s="61"/>
      <c r="AC30" s="61"/>
      <c r="AD30" s="61"/>
      <c r="AE30" s="61"/>
      <c r="AF30" s="61"/>
      <c r="AG30" s="61"/>
      <c r="AH30" s="61"/>
      <c r="AI30" s="61"/>
      <c r="AJ30" s="61"/>
      <c r="AK30" s="61"/>
      <c r="AL30" s="61"/>
      <c r="AM30" s="61"/>
      <c r="AN30" s="61"/>
      <c r="AO30" s="62"/>
      <c r="AP30" s="1"/>
      <c r="AQ30" s="2"/>
    </row>
    <row r="31" spans="1:47" s="3" customFormat="1" ht="3" customHeight="1">
      <c r="A31" s="32">
        <v>6</v>
      </c>
      <c r="B31" s="63" t="s">
        <v>11</v>
      </c>
      <c r="C31" s="63"/>
      <c r="D31" s="63"/>
      <c r="E31" s="63"/>
      <c r="F31" s="63"/>
      <c r="G31" s="63"/>
      <c r="H31" s="63"/>
      <c r="I31" s="63"/>
      <c r="J31" s="63"/>
      <c r="K31" s="63"/>
      <c r="L31" s="63"/>
      <c r="M31" s="63"/>
      <c r="N31" s="34"/>
      <c r="O31" s="34"/>
      <c r="P31" s="34"/>
      <c r="Q31" s="34"/>
      <c r="R31" s="34"/>
      <c r="S31" s="34"/>
      <c r="T31" s="34"/>
      <c r="U31" s="34"/>
      <c r="V31" s="34"/>
      <c r="W31" s="34"/>
      <c r="X31" s="34"/>
      <c r="Y31" s="34"/>
      <c r="Z31" s="34"/>
      <c r="AA31" s="34"/>
      <c r="AB31" s="34"/>
      <c r="AC31" s="34"/>
      <c r="AD31" s="34"/>
      <c r="AE31" s="34"/>
      <c r="AF31" s="34"/>
      <c r="AG31" s="34"/>
      <c r="AH31" s="34"/>
      <c r="AI31" s="34"/>
      <c r="AJ31" s="34"/>
      <c r="AK31" s="34"/>
      <c r="AL31" s="34"/>
      <c r="AM31" s="34"/>
      <c r="AN31" s="34"/>
      <c r="AO31" s="64"/>
      <c r="AP31" s="1"/>
      <c r="AQ31" s="2"/>
    </row>
    <row r="32" spans="1:47" s="3" customFormat="1" ht="5.25" customHeight="1">
      <c r="A32" s="39"/>
      <c r="B32" s="66"/>
      <c r="C32" s="66"/>
      <c r="D32" s="66"/>
      <c r="E32" s="66"/>
      <c r="F32" s="66"/>
      <c r="G32" s="66"/>
      <c r="H32" s="66"/>
      <c r="I32" s="66"/>
      <c r="J32" s="66"/>
      <c r="K32" s="66"/>
      <c r="L32" s="66"/>
      <c r="M32" s="66"/>
      <c r="N32" s="42"/>
      <c r="O32" s="43"/>
      <c r="P32" s="43"/>
      <c r="Q32" s="67"/>
      <c r="R32" s="42"/>
      <c r="S32" s="43"/>
      <c r="T32" s="43"/>
      <c r="U32" s="67"/>
      <c r="V32" s="42"/>
      <c r="W32" s="43"/>
      <c r="X32" s="43"/>
      <c r="Y32" s="67"/>
      <c r="Z32" s="42"/>
      <c r="AA32" s="43"/>
      <c r="AB32" s="43"/>
      <c r="AC32" s="43"/>
      <c r="AD32" s="44"/>
      <c r="AE32" s="1"/>
      <c r="AF32" s="1"/>
      <c r="AG32" s="1"/>
      <c r="AH32" s="1"/>
      <c r="AI32" s="1"/>
      <c r="AJ32" s="1"/>
      <c r="AK32" s="1"/>
      <c r="AL32" s="1"/>
      <c r="AM32" s="1"/>
      <c r="AN32" s="1"/>
      <c r="AO32" s="28"/>
      <c r="AP32" s="1"/>
      <c r="AQ32" s="2"/>
    </row>
    <row r="33" spans="1:43" s="3" customFormat="1" ht="16.350000000000001" customHeight="1">
      <c r="A33" s="69"/>
      <c r="B33" s="70"/>
      <c r="C33" s="70"/>
      <c r="D33" s="70"/>
      <c r="E33" s="70"/>
      <c r="F33" s="70"/>
      <c r="G33" s="70"/>
      <c r="H33" s="70"/>
      <c r="I33" s="70"/>
      <c r="J33" s="70"/>
      <c r="K33" s="70"/>
      <c r="L33" s="70"/>
      <c r="M33" s="70"/>
      <c r="N33" s="71">
        <v>0</v>
      </c>
      <c r="O33" s="72">
        <v>0</v>
      </c>
      <c r="P33" s="71">
        <v>0</v>
      </c>
      <c r="Q33" s="73" t="s">
        <v>12</v>
      </c>
      <c r="R33" s="71">
        <v>4</v>
      </c>
      <c r="S33" s="72">
        <v>8</v>
      </c>
      <c r="T33" s="71">
        <v>4</v>
      </c>
      <c r="U33" s="73" t="s">
        <v>12</v>
      </c>
      <c r="V33" s="71">
        <v>4</v>
      </c>
      <c r="W33" s="72">
        <v>1</v>
      </c>
      <c r="X33" s="71">
        <v>8</v>
      </c>
      <c r="Y33" s="73" t="s">
        <v>12</v>
      </c>
      <c r="Z33" s="71">
        <v>0</v>
      </c>
      <c r="AA33" s="72">
        <v>0</v>
      </c>
      <c r="AB33" s="71">
        <v>0</v>
      </c>
      <c r="AC33" s="71">
        <v>0</v>
      </c>
      <c r="AD33" s="71">
        <v>0</v>
      </c>
      <c r="AE33" s="74"/>
      <c r="AF33" s="74"/>
      <c r="AG33" s="74"/>
      <c r="AH33" s="74"/>
      <c r="AI33" s="74"/>
      <c r="AJ33" s="74"/>
      <c r="AK33" s="74"/>
      <c r="AL33" s="74"/>
      <c r="AM33" s="74"/>
      <c r="AN33" s="74"/>
      <c r="AO33" s="75"/>
      <c r="AP33" s="1"/>
      <c r="AQ33" s="2"/>
    </row>
    <row r="34" spans="1:43" s="3" customFormat="1" ht="10.5" customHeight="1">
      <c r="A34" s="77">
        <v>7</v>
      </c>
      <c r="B34" s="1" t="s">
        <v>21</v>
      </c>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28"/>
      <c r="AP34" s="1"/>
      <c r="AQ34" s="2"/>
    </row>
    <row r="35" spans="1:43" s="3" customFormat="1" ht="9.6" customHeight="1">
      <c r="A35" s="78"/>
      <c r="B35" s="102" t="s">
        <v>22</v>
      </c>
      <c r="C35" s="103"/>
      <c r="D35" s="103"/>
      <c r="E35" s="103"/>
      <c r="F35" s="103"/>
      <c r="G35" s="103"/>
      <c r="H35" s="103"/>
      <c r="I35" s="103"/>
      <c r="J35" s="103"/>
      <c r="K35" s="103"/>
      <c r="L35" s="103"/>
      <c r="M35" s="103"/>
      <c r="N35" s="103"/>
      <c r="O35" s="103"/>
      <c r="P35" s="103"/>
      <c r="Q35" s="103"/>
      <c r="R35" s="103"/>
      <c r="S35" s="103"/>
      <c r="T35" s="103"/>
      <c r="U35" s="103"/>
      <c r="V35" s="103"/>
      <c r="W35" s="103"/>
      <c r="X35" s="103"/>
      <c r="Y35" s="103"/>
      <c r="Z35" s="103"/>
      <c r="AA35" s="103"/>
      <c r="AB35" s="103"/>
      <c r="AC35" s="103"/>
      <c r="AD35" s="103"/>
      <c r="AE35" s="103"/>
      <c r="AF35" s="103"/>
      <c r="AG35" s="103"/>
      <c r="AH35" s="103"/>
      <c r="AI35" s="103"/>
      <c r="AJ35" s="103"/>
      <c r="AK35" s="103"/>
      <c r="AL35" s="103"/>
      <c r="AM35" s="103"/>
      <c r="AN35" s="104"/>
      <c r="AO35" s="28"/>
      <c r="AP35" s="1"/>
      <c r="AQ35" s="2"/>
    </row>
    <row r="36" spans="1:43" s="3" customFormat="1" ht="9.6" customHeight="1">
      <c r="A36" s="78"/>
      <c r="B36" s="105"/>
      <c r="C36" s="106"/>
      <c r="D36" s="106"/>
      <c r="E36" s="106"/>
      <c r="F36" s="106"/>
      <c r="G36" s="106"/>
      <c r="H36" s="106"/>
      <c r="I36" s="106"/>
      <c r="J36" s="106"/>
      <c r="K36" s="106"/>
      <c r="L36" s="106"/>
      <c r="M36" s="106"/>
      <c r="N36" s="106"/>
      <c r="O36" s="106"/>
      <c r="P36" s="106"/>
      <c r="Q36" s="106"/>
      <c r="R36" s="106"/>
      <c r="S36" s="106"/>
      <c r="T36" s="106"/>
      <c r="U36" s="106"/>
      <c r="V36" s="106"/>
      <c r="W36" s="106"/>
      <c r="X36" s="106"/>
      <c r="Y36" s="106"/>
      <c r="Z36" s="106"/>
      <c r="AA36" s="106"/>
      <c r="AB36" s="106"/>
      <c r="AC36" s="106"/>
      <c r="AD36" s="106"/>
      <c r="AE36" s="106"/>
      <c r="AF36" s="106"/>
      <c r="AG36" s="106"/>
      <c r="AH36" s="106"/>
      <c r="AI36" s="106"/>
      <c r="AJ36" s="106"/>
      <c r="AK36" s="106"/>
      <c r="AL36" s="106"/>
      <c r="AM36" s="106"/>
      <c r="AN36" s="107"/>
      <c r="AO36" s="28"/>
      <c r="AP36" s="1"/>
      <c r="AQ36" s="2"/>
    </row>
    <row r="37" spans="1:43" s="3" customFormat="1" ht="3" customHeight="1">
      <c r="A37" s="78"/>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28"/>
      <c r="AP37" s="1"/>
      <c r="AQ37" s="2"/>
    </row>
    <row r="38" spans="1:43" s="3" customFormat="1" ht="10.5" customHeight="1">
      <c r="A38" s="77">
        <v>8</v>
      </c>
      <c r="B38" s="1" t="s">
        <v>15</v>
      </c>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86" t="s">
        <v>23</v>
      </c>
      <c r="AL38" s="1" t="s">
        <v>17</v>
      </c>
      <c r="AM38" s="1"/>
      <c r="AN38" s="1"/>
      <c r="AO38" s="28"/>
      <c r="AP38" s="1"/>
      <c r="AQ38" s="2"/>
    </row>
    <row r="39" spans="1:43" s="3" customFormat="1" ht="3.6" customHeight="1">
      <c r="A39" s="78"/>
      <c r="B39" s="79" t="s">
        <v>24</v>
      </c>
      <c r="C39" s="80"/>
      <c r="D39" s="80"/>
      <c r="E39" s="80"/>
      <c r="F39" s="80"/>
      <c r="G39" s="80"/>
      <c r="H39" s="80"/>
      <c r="I39" s="80"/>
      <c r="J39" s="80"/>
      <c r="K39" s="80"/>
      <c r="L39" s="80"/>
      <c r="M39" s="80"/>
      <c r="N39" s="80"/>
      <c r="O39" s="80"/>
      <c r="P39" s="80"/>
      <c r="Q39" s="80"/>
      <c r="R39" s="80"/>
      <c r="S39" s="80"/>
      <c r="T39" s="80"/>
      <c r="U39" s="80"/>
      <c r="V39" s="80"/>
      <c r="W39" s="80"/>
      <c r="X39" s="80"/>
      <c r="Y39" s="80"/>
      <c r="Z39" s="80"/>
      <c r="AA39" s="80"/>
      <c r="AB39" s="80"/>
      <c r="AC39" s="80"/>
      <c r="AD39" s="80"/>
      <c r="AE39" s="80"/>
      <c r="AF39" s="80"/>
      <c r="AG39" s="80"/>
      <c r="AH39" s="80"/>
      <c r="AI39" s="81"/>
      <c r="AJ39" s="1"/>
      <c r="AK39" s="42"/>
      <c r="AL39" s="43"/>
      <c r="AM39" s="43"/>
      <c r="AN39" s="44"/>
      <c r="AO39" s="28"/>
      <c r="AP39" s="1"/>
      <c r="AQ39" s="2"/>
    </row>
    <row r="40" spans="1:43" s="3" customFormat="1" ht="7.5" customHeight="1">
      <c r="A40" s="78"/>
      <c r="B40" s="108"/>
      <c r="C40" s="109"/>
      <c r="D40" s="109"/>
      <c r="E40" s="109"/>
      <c r="F40" s="109"/>
      <c r="G40" s="109"/>
      <c r="H40" s="109"/>
      <c r="I40" s="109"/>
      <c r="J40" s="109"/>
      <c r="K40" s="109"/>
      <c r="L40" s="109"/>
      <c r="M40" s="109"/>
      <c r="N40" s="109"/>
      <c r="O40" s="109"/>
      <c r="P40" s="109"/>
      <c r="Q40" s="109"/>
      <c r="R40" s="109"/>
      <c r="S40" s="109"/>
      <c r="T40" s="109"/>
      <c r="U40" s="109"/>
      <c r="V40" s="109"/>
      <c r="W40" s="109"/>
      <c r="X40" s="109"/>
      <c r="Y40" s="109"/>
      <c r="Z40" s="109"/>
      <c r="AA40" s="109"/>
      <c r="AB40" s="109"/>
      <c r="AC40" s="109"/>
      <c r="AD40" s="109"/>
      <c r="AE40" s="109"/>
      <c r="AF40" s="109"/>
      <c r="AG40" s="109"/>
      <c r="AH40" s="109"/>
      <c r="AI40" s="110"/>
      <c r="AJ40" s="1"/>
      <c r="AK40" s="93">
        <v>1</v>
      </c>
      <c r="AL40" s="94">
        <v>2</v>
      </c>
      <c r="AM40" s="95">
        <v>2</v>
      </c>
      <c r="AN40" s="94">
        <v>3</v>
      </c>
      <c r="AO40" s="28"/>
      <c r="AP40" s="1"/>
      <c r="AQ40" s="2"/>
    </row>
    <row r="41" spans="1:43" s="3" customFormat="1" ht="7.5" customHeight="1">
      <c r="A41" s="78"/>
      <c r="B41" s="83"/>
      <c r="C41" s="84"/>
      <c r="D41" s="84"/>
      <c r="E41" s="84"/>
      <c r="F41" s="84"/>
      <c r="G41" s="84"/>
      <c r="H41" s="84"/>
      <c r="I41" s="84"/>
      <c r="J41" s="84"/>
      <c r="K41" s="84"/>
      <c r="L41" s="84"/>
      <c r="M41" s="84"/>
      <c r="N41" s="84"/>
      <c r="O41" s="84"/>
      <c r="P41" s="84"/>
      <c r="Q41" s="84"/>
      <c r="R41" s="84"/>
      <c r="S41" s="84"/>
      <c r="T41" s="84"/>
      <c r="U41" s="84"/>
      <c r="V41" s="84"/>
      <c r="W41" s="84"/>
      <c r="X41" s="84"/>
      <c r="Y41" s="84"/>
      <c r="Z41" s="84"/>
      <c r="AA41" s="84"/>
      <c r="AB41" s="84"/>
      <c r="AC41" s="84"/>
      <c r="AD41" s="84"/>
      <c r="AE41" s="84"/>
      <c r="AF41" s="84"/>
      <c r="AG41" s="84"/>
      <c r="AH41" s="84"/>
      <c r="AI41" s="85"/>
      <c r="AJ41" s="1"/>
      <c r="AK41" s="99"/>
      <c r="AL41" s="100"/>
      <c r="AM41" s="101"/>
      <c r="AN41" s="100"/>
      <c r="AO41" s="28"/>
      <c r="AP41" s="1"/>
      <c r="AQ41" s="2"/>
    </row>
    <row r="42" spans="1:43" s="3" customFormat="1" ht="3.6" customHeight="1" thickBot="1">
      <c r="A42" s="77"/>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86"/>
      <c r="AL42" s="1"/>
      <c r="AM42" s="1"/>
      <c r="AN42" s="1"/>
      <c r="AO42" s="28"/>
      <c r="AP42" s="1"/>
      <c r="AQ42" s="2"/>
    </row>
    <row r="43" spans="1:43" s="3" customFormat="1" ht="10.5" customHeight="1" thickBot="1">
      <c r="A43" s="111" t="s">
        <v>25</v>
      </c>
      <c r="B43" s="112"/>
      <c r="C43" s="112"/>
      <c r="D43" s="112"/>
      <c r="E43" s="112"/>
      <c r="F43" s="112"/>
      <c r="G43" s="112"/>
      <c r="H43" s="112"/>
      <c r="I43" s="112"/>
      <c r="J43" s="112"/>
      <c r="K43" s="112"/>
      <c r="L43" s="112"/>
      <c r="M43" s="112"/>
      <c r="N43" s="112"/>
      <c r="O43" s="112"/>
      <c r="P43" s="112"/>
      <c r="Q43" s="112"/>
      <c r="R43" s="112"/>
      <c r="S43" s="112"/>
      <c r="T43" s="112"/>
      <c r="U43" s="112"/>
      <c r="V43" s="112"/>
      <c r="W43" s="112"/>
      <c r="X43" s="112"/>
      <c r="Y43" s="112"/>
      <c r="Z43" s="112"/>
      <c r="AA43" s="112"/>
      <c r="AB43" s="112"/>
      <c r="AC43" s="112"/>
      <c r="AD43" s="112"/>
      <c r="AE43" s="112"/>
      <c r="AF43" s="112"/>
      <c r="AG43" s="112"/>
      <c r="AH43" s="112"/>
      <c r="AI43" s="112"/>
      <c r="AJ43" s="112"/>
      <c r="AK43" s="112"/>
      <c r="AL43" s="112"/>
      <c r="AM43" s="112"/>
      <c r="AN43" s="112"/>
      <c r="AO43" s="113"/>
      <c r="AP43" s="1"/>
      <c r="AQ43" s="2"/>
    </row>
    <row r="44" spans="1:43" s="3" customFormat="1" ht="10.5" customHeight="1">
      <c r="A44" s="114" t="s">
        <v>26</v>
      </c>
      <c r="B44" s="115"/>
      <c r="C44" s="115"/>
      <c r="D44" s="115"/>
      <c r="E44" s="115"/>
      <c r="F44" s="115"/>
      <c r="G44" s="115"/>
      <c r="H44" s="115"/>
      <c r="I44" s="115"/>
      <c r="J44" s="115"/>
      <c r="K44" s="116"/>
      <c r="L44" s="117" t="s">
        <v>27</v>
      </c>
      <c r="M44" s="115"/>
      <c r="N44" s="116"/>
      <c r="O44" s="118" t="s">
        <v>28</v>
      </c>
      <c r="P44" s="119"/>
      <c r="Q44" s="119"/>
      <c r="R44" s="119"/>
      <c r="S44" s="119"/>
      <c r="T44" s="119"/>
      <c r="U44" s="119"/>
      <c r="V44" s="119"/>
      <c r="W44" s="119"/>
      <c r="X44" s="119"/>
      <c r="Y44" s="119"/>
      <c r="Z44" s="119"/>
      <c r="AA44" s="119"/>
      <c r="AB44" s="119"/>
      <c r="AC44" s="119"/>
      <c r="AD44" s="119"/>
      <c r="AE44" s="119"/>
      <c r="AF44" s="119"/>
      <c r="AG44" s="119"/>
      <c r="AH44" s="120"/>
      <c r="AI44" s="117" t="s">
        <v>29</v>
      </c>
      <c r="AJ44" s="115"/>
      <c r="AK44" s="115"/>
      <c r="AL44" s="115"/>
      <c r="AM44" s="115"/>
      <c r="AN44" s="115"/>
      <c r="AO44" s="121"/>
      <c r="AP44" s="1"/>
      <c r="AQ44" s="2"/>
    </row>
    <row r="45" spans="1:43" s="3" customFormat="1" ht="10.5" customHeight="1">
      <c r="A45" s="122"/>
      <c r="B45" s="123"/>
      <c r="C45" s="123"/>
      <c r="D45" s="123"/>
      <c r="E45" s="123"/>
      <c r="F45" s="123"/>
      <c r="G45" s="123"/>
      <c r="H45" s="123"/>
      <c r="I45" s="123"/>
      <c r="J45" s="123"/>
      <c r="K45" s="124"/>
      <c r="L45" s="125"/>
      <c r="M45" s="123"/>
      <c r="N45" s="124"/>
      <c r="O45" s="126" t="s">
        <v>30</v>
      </c>
      <c r="P45" s="127"/>
      <c r="Q45" s="127"/>
      <c r="R45" s="127"/>
      <c r="S45" s="128"/>
      <c r="T45" s="126" t="s">
        <v>31</v>
      </c>
      <c r="U45" s="127"/>
      <c r="V45" s="127"/>
      <c r="W45" s="127"/>
      <c r="X45" s="128"/>
      <c r="Y45" s="126" t="s">
        <v>32</v>
      </c>
      <c r="Z45" s="127"/>
      <c r="AA45" s="127"/>
      <c r="AB45" s="127"/>
      <c r="AC45" s="128"/>
      <c r="AD45" s="126" t="s">
        <v>33</v>
      </c>
      <c r="AE45" s="127"/>
      <c r="AF45" s="127"/>
      <c r="AG45" s="127"/>
      <c r="AH45" s="128"/>
      <c r="AI45" s="125"/>
      <c r="AJ45" s="123"/>
      <c r="AK45" s="123"/>
      <c r="AL45" s="123"/>
      <c r="AM45" s="123"/>
      <c r="AN45" s="123"/>
      <c r="AO45" s="129"/>
      <c r="AP45" s="1"/>
      <c r="AQ45" s="65" t="s">
        <v>34</v>
      </c>
    </row>
    <row r="46" spans="1:43" s="3" customFormat="1" ht="10.5" customHeight="1">
      <c r="A46" s="130"/>
      <c r="B46" s="131"/>
      <c r="C46" s="131"/>
      <c r="D46" s="131"/>
      <c r="E46" s="131"/>
      <c r="F46" s="131"/>
      <c r="G46" s="131"/>
      <c r="H46" s="131"/>
      <c r="I46" s="131"/>
      <c r="J46" s="131"/>
      <c r="K46" s="132"/>
      <c r="L46" s="133"/>
      <c r="M46" s="131"/>
      <c r="N46" s="132"/>
      <c r="O46" s="133"/>
      <c r="P46" s="131"/>
      <c r="Q46" s="131"/>
      <c r="R46" s="131"/>
      <c r="S46" s="132"/>
      <c r="T46" s="133"/>
      <c r="U46" s="131"/>
      <c r="V46" s="131"/>
      <c r="W46" s="131"/>
      <c r="X46" s="132"/>
      <c r="Y46" s="133"/>
      <c r="Z46" s="131"/>
      <c r="AA46" s="131"/>
      <c r="AB46" s="131"/>
      <c r="AC46" s="132"/>
      <c r="AD46" s="133"/>
      <c r="AE46" s="131"/>
      <c r="AF46" s="131"/>
      <c r="AG46" s="131"/>
      <c r="AH46" s="132"/>
      <c r="AI46" s="133"/>
      <c r="AJ46" s="131"/>
      <c r="AK46" s="131"/>
      <c r="AL46" s="131"/>
      <c r="AM46" s="131"/>
      <c r="AN46" s="131"/>
      <c r="AO46" s="134"/>
      <c r="AP46" s="1"/>
      <c r="AQ46" s="65"/>
    </row>
    <row r="47" spans="1:43" s="3" customFormat="1" ht="15" customHeight="1">
      <c r="A47" s="135" t="str">
        <f>IFERROR(VLOOKUP(L47,[1]Page2!$AP$7:$AR$115,2,0),"")</f>
        <v>INCOME PAYMENT MADE BY TOP WITHHOLDING AGENTS TO THEIR LOCAL/RESIDENT SUPPLIER OF SERVICES OTHER THAN THOSE COVERED BY OTHER RATES OF WITHHOLDING TAX</v>
      </c>
      <c r="B47" s="136"/>
      <c r="C47" s="136"/>
      <c r="D47" s="136"/>
      <c r="E47" s="136"/>
      <c r="F47" s="136"/>
      <c r="G47" s="136"/>
      <c r="H47" s="136"/>
      <c r="I47" s="136"/>
      <c r="J47" s="136"/>
      <c r="K47" s="137"/>
      <c r="L47" s="138" t="s">
        <v>35</v>
      </c>
      <c r="M47" s="139"/>
      <c r="N47" s="140"/>
      <c r="O47" s="141"/>
      <c r="P47" s="142"/>
      <c r="Q47" s="142"/>
      <c r="R47" s="142"/>
      <c r="S47" s="143"/>
      <c r="T47" s="141">
        <v>79091.960000000006</v>
      </c>
      <c r="U47" s="142"/>
      <c r="V47" s="142"/>
      <c r="W47" s="142"/>
      <c r="X47" s="143"/>
      <c r="Y47" s="141"/>
      <c r="Z47" s="142"/>
      <c r="AA47" s="142"/>
      <c r="AB47" s="142"/>
      <c r="AC47" s="143"/>
      <c r="AD47" s="141">
        <f>IFERROR(ROUND(SUM(O47:AC47),2),"")</f>
        <v>79091.960000000006</v>
      </c>
      <c r="AE47" s="142"/>
      <c r="AF47" s="142"/>
      <c r="AG47" s="142"/>
      <c r="AH47" s="143"/>
      <c r="AI47" s="141">
        <f>IFERROR(ROUND(AD47*AQ47,2),"")</f>
        <v>1581.84</v>
      </c>
      <c r="AJ47" s="142"/>
      <c r="AK47" s="142"/>
      <c r="AL47" s="142"/>
      <c r="AM47" s="142"/>
      <c r="AN47" s="142"/>
      <c r="AO47" s="144"/>
      <c r="AP47" s="1"/>
      <c r="AQ47" s="145">
        <v>0.02</v>
      </c>
    </row>
    <row r="48" spans="1:43" s="3" customFormat="1" ht="15" customHeight="1">
      <c r="A48" s="146"/>
      <c r="B48" s="147"/>
      <c r="C48" s="147"/>
      <c r="D48" s="147"/>
      <c r="E48" s="147"/>
      <c r="F48" s="147"/>
      <c r="G48" s="147"/>
      <c r="H48" s="147"/>
      <c r="I48" s="147"/>
      <c r="J48" s="147"/>
      <c r="K48" s="148"/>
      <c r="L48" s="149"/>
      <c r="M48" s="150"/>
      <c r="N48" s="151"/>
      <c r="O48" s="141"/>
      <c r="P48" s="142"/>
      <c r="Q48" s="142"/>
      <c r="R48" s="142"/>
      <c r="S48" s="143"/>
      <c r="T48" s="141"/>
      <c r="U48" s="142"/>
      <c r="V48" s="142"/>
      <c r="W48" s="142"/>
      <c r="X48" s="143"/>
      <c r="Y48" s="141"/>
      <c r="Z48" s="142"/>
      <c r="AA48" s="142"/>
      <c r="AB48" s="142"/>
      <c r="AC48" s="143"/>
      <c r="AD48" s="141"/>
      <c r="AE48" s="142"/>
      <c r="AF48" s="142"/>
      <c r="AG48" s="142"/>
      <c r="AH48" s="143"/>
      <c r="AI48" s="141"/>
      <c r="AJ48" s="142"/>
      <c r="AK48" s="142"/>
      <c r="AL48" s="142"/>
      <c r="AM48" s="142"/>
      <c r="AN48" s="142"/>
      <c r="AO48" s="144"/>
      <c r="AP48" s="1"/>
      <c r="AQ48" s="145"/>
    </row>
    <row r="49" spans="1:46" s="3" customFormat="1" ht="15" customHeight="1">
      <c r="A49" s="146"/>
      <c r="B49" s="147"/>
      <c r="C49" s="147"/>
      <c r="D49" s="147"/>
      <c r="E49" s="147"/>
      <c r="F49" s="147"/>
      <c r="G49" s="147"/>
      <c r="H49" s="147"/>
      <c r="I49" s="147"/>
      <c r="J49" s="147"/>
      <c r="K49" s="148"/>
      <c r="L49" s="149"/>
      <c r="M49" s="150"/>
      <c r="N49" s="151"/>
      <c r="O49" s="141"/>
      <c r="P49" s="142"/>
      <c r="Q49" s="142"/>
      <c r="R49" s="142"/>
      <c r="S49" s="143"/>
      <c r="T49" s="141"/>
      <c r="U49" s="142"/>
      <c r="V49" s="142"/>
      <c r="W49" s="142"/>
      <c r="X49" s="143"/>
      <c r="Y49" s="141"/>
      <c r="Z49" s="142"/>
      <c r="AA49" s="142"/>
      <c r="AB49" s="142"/>
      <c r="AC49" s="143"/>
      <c r="AD49" s="141"/>
      <c r="AE49" s="142"/>
      <c r="AF49" s="142"/>
      <c r="AG49" s="142"/>
      <c r="AH49" s="143"/>
      <c r="AI49" s="141"/>
      <c r="AJ49" s="142"/>
      <c r="AK49" s="142"/>
      <c r="AL49" s="142"/>
      <c r="AM49" s="142"/>
      <c r="AN49" s="142"/>
      <c r="AO49" s="144"/>
      <c r="AP49" s="1"/>
      <c r="AQ49" s="145"/>
    </row>
    <row r="50" spans="1:46" s="3" customFormat="1" ht="15" customHeight="1">
      <c r="A50" s="152"/>
      <c r="B50" s="153"/>
      <c r="C50" s="153"/>
      <c r="D50" s="153"/>
      <c r="E50" s="153"/>
      <c r="F50" s="153"/>
      <c r="G50" s="153"/>
      <c r="H50" s="153"/>
      <c r="I50" s="153"/>
      <c r="J50" s="153"/>
      <c r="K50" s="154"/>
      <c r="L50" s="149"/>
      <c r="M50" s="150"/>
      <c r="N50" s="151"/>
      <c r="O50" s="141"/>
      <c r="P50" s="142"/>
      <c r="Q50" s="142"/>
      <c r="R50" s="142"/>
      <c r="S50" s="143"/>
      <c r="T50" s="141"/>
      <c r="U50" s="142"/>
      <c r="V50" s="142"/>
      <c r="W50" s="142"/>
      <c r="X50" s="143"/>
      <c r="Y50" s="141"/>
      <c r="Z50" s="142"/>
      <c r="AA50" s="142"/>
      <c r="AB50" s="142"/>
      <c r="AC50" s="143"/>
      <c r="AD50" s="141"/>
      <c r="AE50" s="142"/>
      <c r="AF50" s="142"/>
      <c r="AG50" s="142"/>
      <c r="AH50" s="143"/>
      <c r="AI50" s="141"/>
      <c r="AJ50" s="142"/>
      <c r="AK50" s="142"/>
      <c r="AL50" s="142"/>
      <c r="AM50" s="142"/>
      <c r="AN50" s="142"/>
      <c r="AO50" s="144"/>
      <c r="AP50" s="1"/>
      <c r="AQ50" s="145"/>
    </row>
    <row r="51" spans="1:46" s="3" customFormat="1" ht="15" customHeight="1">
      <c r="A51" s="155"/>
      <c r="B51" s="156"/>
      <c r="C51" s="156"/>
      <c r="D51" s="156"/>
      <c r="E51" s="156"/>
      <c r="F51" s="156"/>
      <c r="G51" s="156"/>
      <c r="H51" s="156"/>
      <c r="I51" s="156"/>
      <c r="J51" s="156"/>
      <c r="K51" s="157"/>
      <c r="L51" s="149"/>
      <c r="M51" s="150"/>
      <c r="N51" s="151"/>
      <c r="O51" s="141"/>
      <c r="P51" s="142"/>
      <c r="Q51" s="142"/>
      <c r="R51" s="142"/>
      <c r="S51" s="143"/>
      <c r="T51" s="141"/>
      <c r="U51" s="142"/>
      <c r="V51" s="142"/>
      <c r="W51" s="142"/>
      <c r="X51" s="143"/>
      <c r="Y51" s="141"/>
      <c r="Z51" s="142"/>
      <c r="AA51" s="142"/>
      <c r="AB51" s="142"/>
      <c r="AC51" s="143"/>
      <c r="AD51" s="141"/>
      <c r="AE51" s="142"/>
      <c r="AF51" s="142"/>
      <c r="AG51" s="142"/>
      <c r="AH51" s="143"/>
      <c r="AI51" s="141"/>
      <c r="AJ51" s="142"/>
      <c r="AK51" s="142"/>
      <c r="AL51" s="142"/>
      <c r="AM51" s="142"/>
      <c r="AN51" s="142"/>
      <c r="AO51" s="144"/>
      <c r="AP51" s="1"/>
      <c r="AQ51" s="145"/>
    </row>
    <row r="52" spans="1:46" s="3" customFormat="1" ht="15" customHeight="1">
      <c r="A52" s="155"/>
      <c r="B52" s="156"/>
      <c r="C52" s="156"/>
      <c r="D52" s="156"/>
      <c r="E52" s="156"/>
      <c r="F52" s="156"/>
      <c r="G52" s="156"/>
      <c r="H52" s="156"/>
      <c r="I52" s="156"/>
      <c r="J52" s="156"/>
      <c r="K52" s="157"/>
      <c r="L52" s="149"/>
      <c r="M52" s="150"/>
      <c r="N52" s="151"/>
      <c r="O52" s="141"/>
      <c r="P52" s="142"/>
      <c r="Q52" s="142"/>
      <c r="R52" s="142"/>
      <c r="S52" s="143"/>
      <c r="T52" s="141"/>
      <c r="U52" s="142"/>
      <c r="V52" s="142"/>
      <c r="W52" s="142"/>
      <c r="X52" s="143"/>
      <c r="Y52" s="141"/>
      <c r="Z52" s="142"/>
      <c r="AA52" s="142"/>
      <c r="AB52" s="142"/>
      <c r="AC52" s="143"/>
      <c r="AD52" s="141"/>
      <c r="AE52" s="142"/>
      <c r="AF52" s="142"/>
      <c r="AG52" s="142"/>
      <c r="AH52" s="143"/>
      <c r="AI52" s="141"/>
      <c r="AJ52" s="142"/>
      <c r="AK52" s="142"/>
      <c r="AL52" s="142"/>
      <c r="AM52" s="142"/>
      <c r="AN52" s="142"/>
      <c r="AO52" s="144"/>
      <c r="AP52" s="1"/>
      <c r="AQ52" s="145"/>
    </row>
    <row r="53" spans="1:46" s="3" customFormat="1" ht="15" customHeight="1">
      <c r="A53" s="155"/>
      <c r="B53" s="156"/>
      <c r="C53" s="156"/>
      <c r="D53" s="156"/>
      <c r="E53" s="156"/>
      <c r="F53" s="156"/>
      <c r="G53" s="156"/>
      <c r="H53" s="156"/>
      <c r="I53" s="156"/>
      <c r="J53" s="156"/>
      <c r="K53" s="157"/>
      <c r="L53" s="149"/>
      <c r="M53" s="150"/>
      <c r="N53" s="151"/>
      <c r="O53" s="141"/>
      <c r="P53" s="142"/>
      <c r="Q53" s="142"/>
      <c r="R53" s="142"/>
      <c r="S53" s="143"/>
      <c r="T53" s="141"/>
      <c r="U53" s="142"/>
      <c r="V53" s="142"/>
      <c r="W53" s="142"/>
      <c r="X53" s="143"/>
      <c r="Y53" s="141"/>
      <c r="Z53" s="142"/>
      <c r="AA53" s="142"/>
      <c r="AB53" s="142"/>
      <c r="AC53" s="143"/>
      <c r="AD53" s="141"/>
      <c r="AE53" s="142"/>
      <c r="AF53" s="142"/>
      <c r="AG53" s="142"/>
      <c r="AH53" s="143"/>
      <c r="AI53" s="141"/>
      <c r="AJ53" s="142"/>
      <c r="AK53" s="142"/>
      <c r="AL53" s="142"/>
      <c r="AM53" s="142"/>
      <c r="AN53" s="142"/>
      <c r="AO53" s="144"/>
      <c r="AP53" s="1"/>
      <c r="AQ53" s="145"/>
      <c r="AT53" s="3">
        <f>5000-2016</f>
        <v>2984</v>
      </c>
    </row>
    <row r="54" spans="1:46" s="3" customFormat="1" ht="15" customHeight="1">
      <c r="A54" s="155"/>
      <c r="B54" s="156"/>
      <c r="C54" s="156"/>
      <c r="D54" s="158"/>
      <c r="E54" s="158"/>
      <c r="F54" s="156"/>
      <c r="G54" s="156"/>
      <c r="H54" s="156"/>
      <c r="I54" s="156"/>
      <c r="J54" s="156"/>
      <c r="K54" s="157"/>
      <c r="L54" s="149"/>
      <c r="M54" s="150"/>
      <c r="N54" s="151"/>
      <c r="O54" s="141"/>
      <c r="P54" s="142"/>
      <c r="Q54" s="142"/>
      <c r="R54" s="142"/>
      <c r="S54" s="143"/>
      <c r="T54" s="141"/>
      <c r="U54" s="142"/>
      <c r="V54" s="142"/>
      <c r="W54" s="142"/>
      <c r="X54" s="143"/>
      <c r="Y54" s="141"/>
      <c r="Z54" s="142"/>
      <c r="AA54" s="142"/>
      <c r="AB54" s="142"/>
      <c r="AC54" s="143"/>
      <c r="AD54" s="141"/>
      <c r="AE54" s="142"/>
      <c r="AF54" s="142"/>
      <c r="AG54" s="142"/>
      <c r="AH54" s="143"/>
      <c r="AI54" s="141"/>
      <c r="AJ54" s="142"/>
      <c r="AK54" s="142"/>
      <c r="AL54" s="142"/>
      <c r="AM54" s="142"/>
      <c r="AN54" s="142"/>
      <c r="AO54" s="144"/>
      <c r="AP54" s="1"/>
      <c r="AQ54" s="145"/>
    </row>
    <row r="55" spans="1:46" s="3" customFormat="1" ht="15" customHeight="1">
      <c r="A55" s="155"/>
      <c r="B55" s="156"/>
      <c r="C55" s="156"/>
      <c r="D55" s="158"/>
      <c r="E55" s="158"/>
      <c r="F55" s="156"/>
      <c r="G55" s="156"/>
      <c r="H55" s="156"/>
      <c r="I55" s="156"/>
      <c r="J55" s="156"/>
      <c r="K55" s="157"/>
      <c r="L55" s="149"/>
      <c r="M55" s="150"/>
      <c r="N55" s="151"/>
      <c r="O55" s="141"/>
      <c r="P55" s="142"/>
      <c r="Q55" s="142"/>
      <c r="R55" s="142"/>
      <c r="S55" s="143"/>
      <c r="T55" s="141"/>
      <c r="U55" s="142"/>
      <c r="V55" s="142"/>
      <c r="W55" s="142"/>
      <c r="X55" s="143"/>
      <c r="Y55" s="141"/>
      <c r="Z55" s="142"/>
      <c r="AA55" s="142"/>
      <c r="AB55" s="142"/>
      <c r="AC55" s="143"/>
      <c r="AD55" s="141"/>
      <c r="AE55" s="142"/>
      <c r="AF55" s="142"/>
      <c r="AG55" s="142"/>
      <c r="AH55" s="143"/>
      <c r="AI55" s="141"/>
      <c r="AJ55" s="142"/>
      <c r="AK55" s="142"/>
      <c r="AL55" s="142"/>
      <c r="AM55" s="142"/>
      <c r="AN55" s="142"/>
      <c r="AO55" s="144"/>
      <c r="AP55" s="1"/>
      <c r="AQ55" s="145"/>
    </row>
    <row r="56" spans="1:46" s="3" customFormat="1" ht="15" customHeight="1">
      <c r="A56" s="155"/>
      <c r="B56" s="156"/>
      <c r="C56" s="156"/>
      <c r="D56" s="156"/>
      <c r="E56" s="156"/>
      <c r="F56" s="156"/>
      <c r="G56" s="156"/>
      <c r="H56" s="156"/>
      <c r="I56" s="156"/>
      <c r="J56" s="156"/>
      <c r="K56" s="157"/>
      <c r="L56" s="149"/>
      <c r="M56" s="150"/>
      <c r="N56" s="151"/>
      <c r="O56" s="141"/>
      <c r="P56" s="142"/>
      <c r="Q56" s="142"/>
      <c r="R56" s="142"/>
      <c r="S56" s="143"/>
      <c r="T56" s="141"/>
      <c r="U56" s="142"/>
      <c r="V56" s="142"/>
      <c r="W56" s="142"/>
      <c r="X56" s="143"/>
      <c r="Y56" s="141"/>
      <c r="Z56" s="142"/>
      <c r="AA56" s="142"/>
      <c r="AB56" s="142"/>
      <c r="AC56" s="143"/>
      <c r="AD56" s="141"/>
      <c r="AE56" s="142"/>
      <c r="AF56" s="142"/>
      <c r="AG56" s="142"/>
      <c r="AH56" s="143"/>
      <c r="AI56" s="141"/>
      <c r="AJ56" s="142"/>
      <c r="AK56" s="142"/>
      <c r="AL56" s="142"/>
      <c r="AM56" s="142"/>
      <c r="AN56" s="142"/>
      <c r="AO56" s="144"/>
      <c r="AP56" s="1"/>
      <c r="AQ56" s="145"/>
    </row>
    <row r="57" spans="1:46" s="3" customFormat="1" ht="15" customHeight="1">
      <c r="A57" s="155"/>
      <c r="B57" s="158"/>
      <c r="C57" s="158"/>
      <c r="D57" s="158"/>
      <c r="E57" s="158"/>
      <c r="F57" s="158"/>
      <c r="G57" s="158"/>
      <c r="H57" s="158"/>
      <c r="I57" s="158"/>
      <c r="J57" s="158"/>
      <c r="K57" s="159"/>
      <c r="L57" s="149"/>
      <c r="M57" s="150"/>
      <c r="N57" s="151"/>
      <c r="O57" s="141"/>
      <c r="P57" s="142"/>
      <c r="Q57" s="142"/>
      <c r="R57" s="142"/>
      <c r="S57" s="143"/>
      <c r="T57" s="141"/>
      <c r="U57" s="142"/>
      <c r="V57" s="142"/>
      <c r="W57" s="142"/>
      <c r="X57" s="143"/>
      <c r="Y57" s="141"/>
      <c r="Z57" s="142"/>
      <c r="AA57" s="142"/>
      <c r="AB57" s="142"/>
      <c r="AC57" s="143"/>
      <c r="AD57" s="141"/>
      <c r="AE57" s="142"/>
      <c r="AF57" s="142"/>
      <c r="AG57" s="142"/>
      <c r="AH57" s="143"/>
      <c r="AI57" s="141"/>
      <c r="AJ57" s="142"/>
      <c r="AK57" s="142"/>
      <c r="AL57" s="142"/>
      <c r="AM57" s="142"/>
      <c r="AN57" s="142"/>
      <c r="AO57" s="144"/>
      <c r="AP57" s="1"/>
      <c r="AQ57" s="145"/>
    </row>
    <row r="58" spans="1:46" s="3" customFormat="1" ht="15" customHeight="1">
      <c r="A58" s="155"/>
      <c r="B58" s="158"/>
      <c r="C58" s="158"/>
      <c r="D58" s="158"/>
      <c r="E58" s="158"/>
      <c r="F58" s="158"/>
      <c r="G58" s="158"/>
      <c r="H58" s="158"/>
      <c r="I58" s="158"/>
      <c r="J58" s="158"/>
      <c r="K58" s="159"/>
      <c r="L58" s="149"/>
      <c r="M58" s="150"/>
      <c r="N58" s="151"/>
      <c r="O58" s="141"/>
      <c r="P58" s="142"/>
      <c r="Q58" s="142"/>
      <c r="R58" s="142"/>
      <c r="S58" s="143"/>
      <c r="T58" s="141"/>
      <c r="U58" s="142"/>
      <c r="V58" s="142"/>
      <c r="W58" s="142"/>
      <c r="X58" s="143"/>
      <c r="Y58" s="141"/>
      <c r="Z58" s="142"/>
      <c r="AA58" s="142"/>
      <c r="AB58" s="142"/>
      <c r="AC58" s="143"/>
      <c r="AD58" s="141"/>
      <c r="AE58" s="142"/>
      <c r="AF58" s="142"/>
      <c r="AG58" s="142"/>
      <c r="AH58" s="143"/>
      <c r="AI58" s="141"/>
      <c r="AJ58" s="142"/>
      <c r="AK58" s="142"/>
      <c r="AL58" s="142"/>
      <c r="AM58" s="142"/>
      <c r="AN58" s="142"/>
      <c r="AO58" s="144"/>
      <c r="AP58" s="1"/>
      <c r="AQ58" s="145"/>
    </row>
    <row r="59" spans="1:46" s="3" customFormat="1" ht="15" customHeight="1">
      <c r="A59" s="160" t="s">
        <v>33</v>
      </c>
      <c r="B59" s="161"/>
      <c r="C59" s="161"/>
      <c r="D59" s="161"/>
      <c r="E59" s="161"/>
      <c r="F59" s="161"/>
      <c r="G59" s="161"/>
      <c r="H59" s="161"/>
      <c r="I59" s="161"/>
      <c r="J59" s="161"/>
      <c r="K59" s="162"/>
      <c r="L59" s="163"/>
      <c r="M59" s="164"/>
      <c r="N59" s="165"/>
      <c r="O59" s="166">
        <f>SUM(O47:S58)</f>
        <v>0</v>
      </c>
      <c r="P59" s="167"/>
      <c r="Q59" s="167"/>
      <c r="R59" s="167"/>
      <c r="S59" s="168"/>
      <c r="T59" s="166">
        <f>SUM(T47:X58)</f>
        <v>79091.960000000006</v>
      </c>
      <c r="U59" s="167"/>
      <c r="V59" s="167"/>
      <c r="W59" s="167"/>
      <c r="X59" s="168"/>
      <c r="Y59" s="166">
        <f>SUM(Y47:AC58)</f>
        <v>0</v>
      </c>
      <c r="Z59" s="167"/>
      <c r="AA59" s="167"/>
      <c r="AB59" s="167"/>
      <c r="AC59" s="168"/>
      <c r="AD59" s="166">
        <f>SUM(AD47:AH58)</f>
        <v>79091.960000000006</v>
      </c>
      <c r="AE59" s="167"/>
      <c r="AF59" s="167"/>
      <c r="AG59" s="167"/>
      <c r="AH59" s="168"/>
      <c r="AI59" s="166">
        <f>SUM(AI47:AO58)</f>
        <v>1581.84</v>
      </c>
      <c r="AJ59" s="167"/>
      <c r="AK59" s="167"/>
      <c r="AL59" s="167"/>
      <c r="AM59" s="167"/>
      <c r="AN59" s="167"/>
      <c r="AO59" s="169"/>
      <c r="AP59" s="1"/>
      <c r="AQ59" s="170"/>
    </row>
    <row r="60" spans="1:46" s="3" customFormat="1" ht="10.5" customHeight="1">
      <c r="A60" s="171" t="s">
        <v>36</v>
      </c>
      <c r="B60" s="127"/>
      <c r="C60" s="127"/>
      <c r="D60" s="127"/>
      <c r="E60" s="127"/>
      <c r="F60" s="127"/>
      <c r="G60" s="127"/>
      <c r="H60" s="127"/>
      <c r="I60" s="127"/>
      <c r="J60" s="127"/>
      <c r="K60" s="128"/>
      <c r="L60" s="42"/>
      <c r="M60" s="43"/>
      <c r="N60" s="44"/>
      <c r="O60" s="42"/>
      <c r="P60" s="43"/>
      <c r="Q60" s="43"/>
      <c r="R60" s="43"/>
      <c r="S60" s="44"/>
      <c r="T60" s="42"/>
      <c r="U60" s="43"/>
      <c r="V60" s="43"/>
      <c r="W60" s="43"/>
      <c r="X60" s="44"/>
      <c r="Y60" s="42"/>
      <c r="Z60" s="43"/>
      <c r="AA60" s="43"/>
      <c r="AB60" s="43"/>
      <c r="AC60" s="44"/>
      <c r="AD60" s="42"/>
      <c r="AE60" s="43"/>
      <c r="AF60" s="43"/>
      <c r="AG60" s="43"/>
      <c r="AH60" s="44"/>
      <c r="AI60" s="42"/>
      <c r="AJ60" s="43"/>
      <c r="AK60" s="43"/>
      <c r="AL60" s="43"/>
      <c r="AM60" s="43"/>
      <c r="AN60" s="43"/>
      <c r="AO60" s="172"/>
      <c r="AP60" s="1"/>
      <c r="AQ60" s="2"/>
    </row>
    <row r="61" spans="1:46" s="3" customFormat="1" ht="10.5" customHeight="1">
      <c r="A61" s="130"/>
      <c r="B61" s="131"/>
      <c r="C61" s="131"/>
      <c r="D61" s="131"/>
      <c r="E61" s="131"/>
      <c r="F61" s="131"/>
      <c r="G61" s="131"/>
      <c r="H61" s="131"/>
      <c r="I61" s="131"/>
      <c r="J61" s="131"/>
      <c r="K61" s="132"/>
      <c r="L61" s="173"/>
      <c r="M61" s="74"/>
      <c r="N61" s="174"/>
      <c r="O61" s="173"/>
      <c r="P61" s="74"/>
      <c r="Q61" s="74"/>
      <c r="R61" s="74"/>
      <c r="S61" s="174"/>
      <c r="T61" s="173"/>
      <c r="U61" s="74"/>
      <c r="V61" s="74"/>
      <c r="W61" s="74"/>
      <c r="X61" s="174"/>
      <c r="Y61" s="173"/>
      <c r="Z61" s="74"/>
      <c r="AA61" s="74"/>
      <c r="AB61" s="74"/>
      <c r="AC61" s="174"/>
      <c r="AD61" s="173"/>
      <c r="AE61" s="74"/>
      <c r="AF61" s="74"/>
      <c r="AG61" s="74"/>
      <c r="AH61" s="174"/>
      <c r="AI61" s="173"/>
      <c r="AJ61" s="74"/>
      <c r="AK61" s="74"/>
      <c r="AL61" s="74"/>
      <c r="AM61" s="74"/>
      <c r="AN61" s="74"/>
      <c r="AO61" s="75"/>
      <c r="AP61" s="1"/>
      <c r="AQ61" s="2"/>
    </row>
    <row r="62" spans="1:46" s="3" customFormat="1" ht="15" customHeight="1">
      <c r="A62" s="175"/>
      <c r="B62" s="176"/>
      <c r="C62" s="176"/>
      <c r="D62" s="176"/>
      <c r="E62" s="176"/>
      <c r="F62" s="176"/>
      <c r="G62" s="176"/>
      <c r="H62" s="176"/>
      <c r="I62" s="176"/>
      <c r="J62" s="176"/>
      <c r="K62" s="177"/>
      <c r="L62" s="163"/>
      <c r="M62" s="164"/>
      <c r="N62" s="165"/>
      <c r="O62" s="163"/>
      <c r="P62" s="164"/>
      <c r="Q62" s="164"/>
      <c r="R62" s="164"/>
      <c r="S62" s="165"/>
      <c r="T62" s="163"/>
      <c r="U62" s="164"/>
      <c r="V62" s="164"/>
      <c r="W62" s="164"/>
      <c r="X62" s="165"/>
      <c r="Y62" s="163"/>
      <c r="Z62" s="164"/>
      <c r="AA62" s="164"/>
      <c r="AB62" s="164"/>
      <c r="AC62" s="165"/>
      <c r="AD62" s="163"/>
      <c r="AE62" s="164"/>
      <c r="AF62" s="164"/>
      <c r="AG62" s="164"/>
      <c r="AH62" s="165"/>
      <c r="AI62" s="163"/>
      <c r="AJ62" s="164"/>
      <c r="AK62" s="164"/>
      <c r="AL62" s="164"/>
      <c r="AM62" s="164"/>
      <c r="AN62" s="164"/>
      <c r="AO62" s="178"/>
      <c r="AP62" s="1"/>
      <c r="AQ62" s="2"/>
    </row>
    <row r="63" spans="1:46" s="3" customFormat="1" ht="15" customHeight="1">
      <c r="A63" s="175"/>
      <c r="B63" s="176"/>
      <c r="C63" s="176"/>
      <c r="D63" s="176"/>
      <c r="E63" s="176"/>
      <c r="F63" s="176"/>
      <c r="G63" s="176"/>
      <c r="H63" s="176"/>
      <c r="I63" s="176"/>
      <c r="J63" s="176"/>
      <c r="K63" s="177"/>
      <c r="L63" s="163"/>
      <c r="M63" s="164"/>
      <c r="N63" s="165"/>
      <c r="O63" s="163"/>
      <c r="P63" s="164"/>
      <c r="Q63" s="164"/>
      <c r="R63" s="164"/>
      <c r="S63" s="165"/>
      <c r="T63" s="163"/>
      <c r="U63" s="164"/>
      <c r="V63" s="164"/>
      <c r="W63" s="164"/>
      <c r="X63" s="165"/>
      <c r="Y63" s="163"/>
      <c r="Z63" s="164"/>
      <c r="AA63" s="164"/>
      <c r="AB63" s="164"/>
      <c r="AC63" s="165"/>
      <c r="AD63" s="163"/>
      <c r="AE63" s="164"/>
      <c r="AF63" s="164"/>
      <c r="AG63" s="164"/>
      <c r="AH63" s="165"/>
      <c r="AI63" s="163"/>
      <c r="AJ63" s="164"/>
      <c r="AK63" s="164"/>
      <c r="AL63" s="164"/>
      <c r="AM63" s="164"/>
      <c r="AN63" s="164"/>
      <c r="AO63" s="178"/>
      <c r="AP63" s="1"/>
      <c r="AQ63" s="2"/>
    </row>
    <row r="64" spans="1:46" s="3" customFormat="1" ht="15" customHeight="1">
      <c r="A64" s="175"/>
      <c r="B64" s="176"/>
      <c r="C64" s="176"/>
      <c r="D64" s="176"/>
      <c r="E64" s="176"/>
      <c r="F64" s="176"/>
      <c r="G64" s="176"/>
      <c r="H64" s="176"/>
      <c r="I64" s="176"/>
      <c r="J64" s="176"/>
      <c r="K64" s="177"/>
      <c r="L64" s="163"/>
      <c r="M64" s="164"/>
      <c r="N64" s="165"/>
      <c r="O64" s="163"/>
      <c r="P64" s="164"/>
      <c r="Q64" s="164"/>
      <c r="R64" s="164"/>
      <c r="S64" s="165"/>
      <c r="T64" s="163"/>
      <c r="U64" s="164"/>
      <c r="V64" s="164"/>
      <c r="W64" s="164"/>
      <c r="X64" s="165"/>
      <c r="Y64" s="163"/>
      <c r="Z64" s="164"/>
      <c r="AA64" s="164"/>
      <c r="AB64" s="164"/>
      <c r="AC64" s="165"/>
      <c r="AD64" s="163"/>
      <c r="AE64" s="164"/>
      <c r="AF64" s="164"/>
      <c r="AG64" s="164"/>
      <c r="AH64" s="165"/>
      <c r="AI64" s="163"/>
      <c r="AJ64" s="164"/>
      <c r="AK64" s="164"/>
      <c r="AL64" s="164"/>
      <c r="AM64" s="164"/>
      <c r="AN64" s="164"/>
      <c r="AO64" s="178"/>
      <c r="AP64" s="1"/>
      <c r="AQ64" s="2"/>
    </row>
    <row r="65" spans="1:43" s="3" customFormat="1" ht="15" customHeight="1">
      <c r="A65" s="160" t="s">
        <v>33</v>
      </c>
      <c r="B65" s="161"/>
      <c r="C65" s="161"/>
      <c r="D65" s="161"/>
      <c r="E65" s="161"/>
      <c r="F65" s="161"/>
      <c r="G65" s="161"/>
      <c r="H65" s="161"/>
      <c r="I65" s="161"/>
      <c r="J65" s="161"/>
      <c r="K65" s="162"/>
      <c r="L65" s="163"/>
      <c r="M65" s="164"/>
      <c r="N65" s="165"/>
      <c r="O65" s="163"/>
      <c r="P65" s="164"/>
      <c r="Q65" s="164"/>
      <c r="R65" s="164"/>
      <c r="S65" s="165"/>
      <c r="T65" s="163"/>
      <c r="U65" s="164"/>
      <c r="V65" s="164"/>
      <c r="W65" s="164"/>
      <c r="X65" s="165"/>
      <c r="Y65" s="163"/>
      <c r="Z65" s="164"/>
      <c r="AA65" s="164"/>
      <c r="AB65" s="164"/>
      <c r="AC65" s="165"/>
      <c r="AD65" s="163"/>
      <c r="AE65" s="164"/>
      <c r="AF65" s="164"/>
      <c r="AG65" s="164"/>
      <c r="AH65" s="165"/>
      <c r="AI65" s="163"/>
      <c r="AJ65" s="164"/>
      <c r="AK65" s="164"/>
      <c r="AL65" s="164"/>
      <c r="AM65" s="164"/>
      <c r="AN65" s="164"/>
      <c r="AO65" s="178"/>
      <c r="AP65" s="1"/>
      <c r="AQ65" s="2"/>
    </row>
    <row r="66" spans="1:43" s="3" customFormat="1" ht="40.5" customHeight="1">
      <c r="A66" s="179" t="s">
        <v>37</v>
      </c>
      <c r="B66" s="180"/>
      <c r="C66" s="180"/>
      <c r="D66" s="180"/>
      <c r="E66" s="180"/>
      <c r="F66" s="180"/>
      <c r="G66" s="180"/>
      <c r="H66" s="180"/>
      <c r="I66" s="180"/>
      <c r="J66" s="180"/>
      <c r="K66" s="180"/>
      <c r="L66" s="180"/>
      <c r="M66" s="180"/>
      <c r="N66" s="180"/>
      <c r="O66" s="180"/>
      <c r="P66" s="180"/>
      <c r="Q66" s="180"/>
      <c r="R66" s="180"/>
      <c r="S66" s="180"/>
      <c r="T66" s="180"/>
      <c r="U66" s="180"/>
      <c r="V66" s="180"/>
      <c r="W66" s="180"/>
      <c r="X66" s="180"/>
      <c r="Y66" s="180"/>
      <c r="Z66" s="180"/>
      <c r="AA66" s="180"/>
      <c r="AB66" s="180"/>
      <c r="AC66" s="180"/>
      <c r="AD66" s="180"/>
      <c r="AE66" s="180"/>
      <c r="AF66" s="180"/>
      <c r="AG66" s="180"/>
      <c r="AH66" s="180"/>
      <c r="AI66" s="180"/>
      <c r="AJ66" s="180"/>
      <c r="AK66" s="180"/>
      <c r="AL66" s="180"/>
      <c r="AM66" s="180"/>
      <c r="AN66" s="180"/>
      <c r="AO66" s="181"/>
      <c r="AP66" s="1"/>
      <c r="AQ66" s="2"/>
    </row>
    <row r="67" spans="1:43" s="3" customFormat="1" ht="10.5" customHeight="1">
      <c r="A67" s="182" t="s">
        <v>38</v>
      </c>
      <c r="B67" s="183"/>
      <c r="C67" s="183"/>
      <c r="D67" s="183"/>
      <c r="E67" s="183"/>
      <c r="F67" s="183"/>
      <c r="G67" s="183"/>
      <c r="H67" s="183"/>
      <c r="I67" s="183"/>
      <c r="J67" s="183"/>
      <c r="K67" s="183"/>
      <c r="L67" s="183"/>
      <c r="M67" s="183"/>
      <c r="N67" s="183"/>
      <c r="O67" s="183"/>
      <c r="P67" s="183"/>
      <c r="Q67" s="183"/>
      <c r="R67" s="183"/>
      <c r="S67" s="183"/>
      <c r="T67" s="183"/>
      <c r="U67" s="183"/>
      <c r="V67" s="183"/>
      <c r="W67" s="183"/>
      <c r="X67" s="183"/>
      <c r="Y67" s="183"/>
      <c r="Z67" s="183"/>
      <c r="AA67" s="183"/>
      <c r="AB67" s="183"/>
      <c r="AC67" s="183"/>
      <c r="AD67" s="183"/>
      <c r="AE67" s="183"/>
      <c r="AF67" s="183"/>
      <c r="AG67" s="183"/>
      <c r="AH67" s="183"/>
      <c r="AI67" s="183"/>
      <c r="AJ67" s="183"/>
      <c r="AK67" s="183"/>
      <c r="AL67" s="183"/>
      <c r="AM67" s="183"/>
      <c r="AN67" s="183"/>
      <c r="AO67" s="184"/>
      <c r="AP67" s="1"/>
      <c r="AQ67" s="2"/>
    </row>
    <row r="68" spans="1:43" s="3" customFormat="1" ht="10.5" customHeight="1">
      <c r="A68" s="185"/>
      <c r="B68" s="186"/>
      <c r="C68" s="186"/>
      <c r="D68" s="186"/>
      <c r="E68" s="186"/>
      <c r="F68" s="186"/>
      <c r="G68" s="186"/>
      <c r="H68" s="186"/>
      <c r="I68" s="186"/>
      <c r="J68" s="186"/>
      <c r="K68" s="186"/>
      <c r="L68" s="186"/>
      <c r="M68" s="186"/>
      <c r="N68" s="186"/>
      <c r="O68" s="186"/>
      <c r="P68" s="186"/>
      <c r="Q68" s="186"/>
      <c r="R68" s="186"/>
      <c r="S68" s="186"/>
      <c r="T68" s="186"/>
      <c r="U68" s="186"/>
      <c r="V68" s="186"/>
      <c r="W68" s="186"/>
      <c r="X68" s="186"/>
      <c r="Y68" s="186"/>
      <c r="Z68" s="186"/>
      <c r="AA68" s="186"/>
      <c r="AB68" s="186"/>
      <c r="AC68" s="186"/>
      <c r="AD68" s="186"/>
      <c r="AE68" s="186"/>
      <c r="AF68" s="186"/>
      <c r="AG68" s="186"/>
      <c r="AH68" s="186"/>
      <c r="AI68" s="186"/>
      <c r="AJ68" s="186"/>
      <c r="AK68" s="186"/>
      <c r="AL68" s="186"/>
      <c r="AM68" s="186"/>
      <c r="AN68" s="186"/>
      <c r="AO68" s="187"/>
      <c r="AP68" s="1"/>
      <c r="AQ68" s="2"/>
    </row>
    <row r="69" spans="1:43" s="3" customFormat="1" ht="10.5" customHeight="1">
      <c r="A69" s="188"/>
      <c r="B69" s="189"/>
      <c r="C69" s="189"/>
      <c r="D69" s="189"/>
      <c r="E69" s="189"/>
      <c r="F69" s="189"/>
      <c r="G69" s="189"/>
      <c r="H69" s="189"/>
      <c r="I69" s="189"/>
      <c r="J69" s="189"/>
      <c r="K69" s="189"/>
      <c r="L69" s="189"/>
      <c r="M69" s="189"/>
      <c r="N69" s="189"/>
      <c r="O69" s="189"/>
      <c r="P69" s="189"/>
      <c r="Q69" s="189"/>
      <c r="R69" s="189"/>
      <c r="S69" s="189"/>
      <c r="T69" s="189"/>
      <c r="U69" s="189"/>
      <c r="V69" s="189"/>
      <c r="W69" s="189"/>
      <c r="X69" s="189"/>
      <c r="Y69" s="189"/>
      <c r="Z69" s="189"/>
      <c r="AA69" s="189"/>
      <c r="AB69" s="189"/>
      <c r="AC69" s="189"/>
      <c r="AD69" s="189"/>
      <c r="AE69" s="189"/>
      <c r="AF69" s="189"/>
      <c r="AG69" s="189"/>
      <c r="AH69" s="189"/>
      <c r="AI69" s="189"/>
      <c r="AJ69" s="189"/>
      <c r="AK69" s="189"/>
      <c r="AL69" s="189"/>
      <c r="AM69" s="189"/>
      <c r="AN69" s="189"/>
      <c r="AO69" s="190"/>
      <c r="AP69" s="1"/>
      <c r="AQ69" s="2"/>
    </row>
    <row r="70" spans="1:43" s="3" customFormat="1" ht="10.5" customHeight="1">
      <c r="A70" s="191" t="s">
        <v>39</v>
      </c>
      <c r="B70" s="192"/>
      <c r="C70" s="192"/>
      <c r="D70" s="192"/>
      <c r="E70" s="192"/>
      <c r="F70" s="192"/>
      <c r="G70" s="192"/>
      <c r="H70" s="192"/>
      <c r="I70" s="192"/>
      <c r="J70" s="192"/>
      <c r="K70" s="192"/>
      <c r="L70" s="192"/>
      <c r="M70" s="192"/>
      <c r="N70" s="192"/>
      <c r="O70" s="192"/>
      <c r="P70" s="192"/>
      <c r="Q70" s="192"/>
      <c r="R70" s="192"/>
      <c r="S70" s="192"/>
      <c r="T70" s="192"/>
      <c r="U70" s="192"/>
      <c r="V70" s="192"/>
      <c r="W70" s="192"/>
      <c r="X70" s="192"/>
      <c r="Y70" s="192"/>
      <c r="Z70" s="192"/>
      <c r="AA70" s="192"/>
      <c r="AB70" s="192"/>
      <c r="AC70" s="192"/>
      <c r="AD70" s="192"/>
      <c r="AE70" s="192"/>
      <c r="AF70" s="192"/>
      <c r="AG70" s="192"/>
      <c r="AH70" s="192"/>
      <c r="AI70" s="192"/>
      <c r="AJ70" s="192"/>
      <c r="AK70" s="192"/>
      <c r="AL70" s="192"/>
      <c r="AM70" s="192"/>
      <c r="AN70" s="192"/>
      <c r="AO70" s="193"/>
      <c r="AP70" s="1"/>
      <c r="AQ70" s="2"/>
    </row>
    <row r="71" spans="1:43" s="3" customFormat="1" ht="10.5" customHeight="1">
      <c r="A71" s="194" t="s">
        <v>40</v>
      </c>
      <c r="B71" s="195"/>
      <c r="C71" s="195"/>
      <c r="D71" s="195"/>
      <c r="E71" s="195"/>
      <c r="F71" s="195"/>
      <c r="G71" s="195"/>
      <c r="H71" s="195"/>
      <c r="I71" s="195"/>
      <c r="J71" s="195"/>
      <c r="K71" s="195"/>
      <c r="L71" s="195"/>
      <c r="M71" s="195"/>
      <c r="N71" s="195"/>
      <c r="O71" s="195"/>
      <c r="P71" s="195"/>
      <c r="Q71" s="195"/>
      <c r="R71" s="195"/>
      <c r="S71" s="195"/>
      <c r="T71" s="195"/>
      <c r="U71" s="195"/>
      <c r="V71" s="195"/>
      <c r="W71" s="195"/>
      <c r="X71" s="195"/>
      <c r="Y71" s="195"/>
      <c r="Z71" s="195"/>
      <c r="AA71" s="195"/>
      <c r="AB71" s="195"/>
      <c r="AC71" s="195"/>
      <c r="AD71" s="195"/>
      <c r="AE71" s="195"/>
      <c r="AF71" s="195"/>
      <c r="AG71" s="195"/>
      <c r="AH71" s="195"/>
      <c r="AI71" s="195"/>
      <c r="AJ71" s="195"/>
      <c r="AK71" s="195"/>
      <c r="AL71" s="195"/>
      <c r="AM71" s="195"/>
      <c r="AN71" s="195"/>
      <c r="AO71" s="196"/>
      <c r="AP71" s="1"/>
      <c r="AQ71" s="2"/>
    </row>
    <row r="72" spans="1:43" s="3" customFormat="1" ht="11.25" customHeight="1">
      <c r="A72" s="197" t="s">
        <v>41</v>
      </c>
      <c r="B72" s="198"/>
      <c r="C72" s="198"/>
      <c r="D72" s="198"/>
      <c r="E72" s="198"/>
      <c r="F72" s="198"/>
      <c r="G72" s="198"/>
      <c r="H72" s="198"/>
      <c r="I72" s="43"/>
      <c r="J72" s="43"/>
      <c r="K72" s="43"/>
      <c r="L72" s="43"/>
      <c r="M72" s="43"/>
      <c r="N72" s="43"/>
      <c r="O72" s="43"/>
      <c r="P72" s="43"/>
      <c r="Q72" s="199"/>
      <c r="R72" s="200" t="s">
        <v>42</v>
      </c>
      <c r="S72" s="200"/>
      <c r="T72" s="200"/>
      <c r="U72" s="200"/>
      <c r="V72" s="43"/>
      <c r="W72" s="43"/>
      <c r="X72" s="43"/>
      <c r="Y72" s="43"/>
      <c r="Z72" s="43"/>
      <c r="AA72" s="43"/>
      <c r="AB72" s="43"/>
      <c r="AC72" s="201" t="s">
        <v>43</v>
      </c>
      <c r="AD72" s="201"/>
      <c r="AE72" s="201"/>
      <c r="AF72" s="201"/>
      <c r="AG72" s="201"/>
      <c r="AH72" s="43"/>
      <c r="AI72" s="43"/>
      <c r="AJ72" s="43"/>
      <c r="AK72" s="43"/>
      <c r="AL72" s="43"/>
      <c r="AM72" s="43"/>
      <c r="AN72" s="43"/>
      <c r="AO72" s="172"/>
      <c r="AP72" s="1"/>
      <c r="AQ72" s="2"/>
    </row>
    <row r="73" spans="1:43" s="3" customFormat="1" ht="11.25" customHeight="1" thickBot="1">
      <c r="A73" s="202" t="s">
        <v>44</v>
      </c>
      <c r="B73" s="203"/>
      <c r="C73" s="203"/>
      <c r="D73" s="203"/>
      <c r="E73" s="203"/>
      <c r="F73" s="203"/>
      <c r="G73" s="203"/>
      <c r="H73" s="203"/>
      <c r="I73" s="1"/>
      <c r="J73" s="1"/>
      <c r="K73" s="1"/>
      <c r="L73" s="1"/>
      <c r="M73" s="1"/>
      <c r="N73" s="1"/>
      <c r="O73" s="1"/>
      <c r="P73" s="1"/>
      <c r="Q73" s="1"/>
      <c r="R73" s="204"/>
      <c r="S73" s="204"/>
      <c r="T73" s="204"/>
      <c r="U73" s="204"/>
      <c r="V73" s="1"/>
      <c r="W73" s="1"/>
      <c r="X73" s="1"/>
      <c r="Y73" s="1"/>
      <c r="Z73" s="1"/>
      <c r="AA73" s="1"/>
      <c r="AB73" s="1"/>
      <c r="AC73" s="205" t="s">
        <v>7</v>
      </c>
      <c r="AD73" s="205"/>
      <c r="AE73" s="205"/>
      <c r="AF73" s="205"/>
      <c r="AG73" s="205"/>
      <c r="AH73" s="1"/>
      <c r="AI73" s="1"/>
      <c r="AJ73" s="1"/>
      <c r="AK73" s="1"/>
      <c r="AL73" s="1"/>
      <c r="AM73" s="1"/>
      <c r="AN73" s="1"/>
      <c r="AO73" s="28"/>
      <c r="AP73" s="1"/>
      <c r="AQ73" s="2"/>
    </row>
    <row r="74" spans="1:43" s="3" customFormat="1" ht="10.5" customHeight="1" thickBot="1">
      <c r="A74" s="60" t="s">
        <v>45</v>
      </c>
      <c r="B74" s="61"/>
      <c r="C74" s="61"/>
      <c r="D74" s="61"/>
      <c r="E74" s="61"/>
      <c r="F74" s="61"/>
      <c r="G74" s="61"/>
      <c r="H74" s="61"/>
      <c r="I74" s="61"/>
      <c r="J74" s="61"/>
      <c r="K74" s="61"/>
      <c r="L74" s="61"/>
      <c r="M74" s="61"/>
      <c r="N74" s="61"/>
      <c r="O74" s="61"/>
      <c r="P74" s="61"/>
      <c r="Q74" s="61"/>
      <c r="R74" s="61"/>
      <c r="S74" s="61"/>
      <c r="T74" s="61"/>
      <c r="U74" s="61"/>
      <c r="V74" s="61"/>
      <c r="W74" s="61"/>
      <c r="X74" s="61"/>
      <c r="Y74" s="61"/>
      <c r="Z74" s="61"/>
      <c r="AA74" s="61"/>
      <c r="AB74" s="61"/>
      <c r="AC74" s="61"/>
      <c r="AD74" s="61"/>
      <c r="AE74" s="61"/>
      <c r="AF74" s="61"/>
      <c r="AG74" s="61"/>
      <c r="AH74" s="61"/>
      <c r="AI74" s="61"/>
      <c r="AJ74" s="61"/>
      <c r="AK74" s="61"/>
      <c r="AL74" s="61"/>
      <c r="AM74" s="61"/>
      <c r="AN74" s="61"/>
      <c r="AO74" s="62"/>
      <c r="AP74" s="1"/>
      <c r="AQ74" s="2"/>
    </row>
    <row r="75" spans="1:43" s="3" customFormat="1" ht="10.5" customHeight="1">
      <c r="A75" s="191"/>
      <c r="B75" s="192"/>
      <c r="C75" s="192"/>
      <c r="D75" s="192"/>
      <c r="E75" s="192"/>
      <c r="F75" s="192"/>
      <c r="G75" s="192"/>
      <c r="H75" s="192"/>
      <c r="I75" s="192"/>
      <c r="J75" s="192"/>
      <c r="K75" s="192"/>
      <c r="L75" s="192"/>
      <c r="M75" s="192"/>
      <c r="N75" s="192"/>
      <c r="O75" s="192"/>
      <c r="P75" s="192"/>
      <c r="Q75" s="192"/>
      <c r="R75" s="192"/>
      <c r="S75" s="192"/>
      <c r="T75" s="192"/>
      <c r="U75" s="192"/>
      <c r="V75" s="192"/>
      <c r="W75" s="192"/>
      <c r="X75" s="192"/>
      <c r="Y75" s="192"/>
      <c r="Z75" s="192"/>
      <c r="AA75" s="192"/>
      <c r="AB75" s="192"/>
      <c r="AC75" s="192"/>
      <c r="AD75" s="192"/>
      <c r="AE75" s="192"/>
      <c r="AF75" s="192"/>
      <c r="AG75" s="192"/>
      <c r="AH75" s="192"/>
      <c r="AI75" s="192"/>
      <c r="AJ75" s="192"/>
      <c r="AK75" s="192"/>
      <c r="AL75" s="192"/>
      <c r="AM75" s="192"/>
      <c r="AN75" s="192"/>
      <c r="AO75" s="193"/>
      <c r="AP75" s="1"/>
      <c r="AQ75" s="2"/>
    </row>
    <row r="76" spans="1:43" s="3" customFormat="1" ht="10.5" customHeight="1">
      <c r="A76" s="206"/>
      <c r="B76" s="207"/>
      <c r="C76" s="207"/>
      <c r="D76" s="207"/>
      <c r="E76" s="207"/>
      <c r="F76" s="207"/>
      <c r="G76" s="207"/>
      <c r="H76" s="207"/>
      <c r="I76" s="207"/>
      <c r="J76" s="207"/>
      <c r="K76" s="207"/>
      <c r="L76" s="207"/>
      <c r="M76" s="207"/>
      <c r="N76" s="207"/>
      <c r="O76" s="207"/>
      <c r="P76" s="207"/>
      <c r="Q76" s="207"/>
      <c r="R76" s="207"/>
      <c r="S76" s="207"/>
      <c r="T76" s="207"/>
      <c r="U76" s="207"/>
      <c r="V76" s="207"/>
      <c r="W76" s="207"/>
      <c r="X76" s="207"/>
      <c r="Y76" s="207"/>
      <c r="Z76" s="207"/>
      <c r="AA76" s="207"/>
      <c r="AB76" s="207"/>
      <c r="AC76" s="207"/>
      <c r="AD76" s="207"/>
      <c r="AE76" s="207"/>
      <c r="AF76" s="207"/>
      <c r="AG76" s="207"/>
      <c r="AH76" s="207"/>
      <c r="AI76" s="207"/>
      <c r="AJ76" s="207"/>
      <c r="AK76" s="207"/>
      <c r="AL76" s="207"/>
      <c r="AM76" s="207"/>
      <c r="AN76" s="207"/>
      <c r="AO76" s="208"/>
      <c r="AP76" s="1"/>
      <c r="AQ76" s="2"/>
    </row>
    <row r="77" spans="1:43" s="3" customFormat="1" ht="10.5" customHeight="1">
      <c r="A77" s="209"/>
      <c r="B77" s="210"/>
      <c r="C77" s="210"/>
      <c r="D77" s="210"/>
      <c r="E77" s="210"/>
      <c r="F77" s="210"/>
      <c r="G77" s="210"/>
      <c r="H77" s="210"/>
      <c r="I77" s="210"/>
      <c r="J77" s="210"/>
      <c r="K77" s="210"/>
      <c r="L77" s="210"/>
      <c r="M77" s="210"/>
      <c r="N77" s="210"/>
      <c r="O77" s="210"/>
      <c r="P77" s="210"/>
      <c r="Q77" s="210"/>
      <c r="R77" s="210"/>
      <c r="S77" s="210"/>
      <c r="T77" s="210"/>
      <c r="U77" s="210"/>
      <c r="V77" s="210"/>
      <c r="W77" s="210"/>
      <c r="X77" s="210"/>
      <c r="Y77" s="210"/>
      <c r="Z77" s="210"/>
      <c r="AA77" s="210"/>
      <c r="AB77" s="210"/>
      <c r="AC77" s="210"/>
      <c r="AD77" s="210"/>
      <c r="AE77" s="210"/>
      <c r="AF77" s="210"/>
      <c r="AG77" s="210"/>
      <c r="AH77" s="210"/>
      <c r="AI77" s="210"/>
      <c r="AJ77" s="210"/>
      <c r="AK77" s="210"/>
      <c r="AL77" s="210"/>
      <c r="AM77" s="210"/>
      <c r="AN77" s="210"/>
      <c r="AO77" s="211"/>
      <c r="AP77" s="1"/>
      <c r="AQ77" s="2"/>
    </row>
    <row r="78" spans="1:43" s="3" customFormat="1" ht="10.5" customHeight="1">
      <c r="A78" s="191" t="s">
        <v>46</v>
      </c>
      <c r="B78" s="192"/>
      <c r="C78" s="192"/>
      <c r="D78" s="192"/>
      <c r="E78" s="192"/>
      <c r="F78" s="192"/>
      <c r="G78" s="192"/>
      <c r="H78" s="192"/>
      <c r="I78" s="192"/>
      <c r="J78" s="192"/>
      <c r="K78" s="192"/>
      <c r="L78" s="192"/>
      <c r="M78" s="192"/>
      <c r="N78" s="192"/>
      <c r="O78" s="192"/>
      <c r="P78" s="192"/>
      <c r="Q78" s="192"/>
      <c r="R78" s="192"/>
      <c r="S78" s="192"/>
      <c r="T78" s="192"/>
      <c r="U78" s="192"/>
      <c r="V78" s="192"/>
      <c r="W78" s="192"/>
      <c r="X78" s="192"/>
      <c r="Y78" s="192"/>
      <c r="Z78" s="192"/>
      <c r="AA78" s="192"/>
      <c r="AB78" s="192"/>
      <c r="AC78" s="192"/>
      <c r="AD78" s="192"/>
      <c r="AE78" s="192"/>
      <c r="AF78" s="192"/>
      <c r="AG78" s="192"/>
      <c r="AH78" s="192"/>
      <c r="AI78" s="192"/>
      <c r="AJ78" s="192"/>
      <c r="AK78" s="192"/>
      <c r="AL78" s="192"/>
      <c r="AM78" s="192"/>
      <c r="AN78" s="192"/>
      <c r="AO78" s="193"/>
      <c r="AP78" s="1"/>
      <c r="AQ78" s="2"/>
    </row>
    <row r="79" spans="1:43" s="3" customFormat="1" ht="10.5" customHeight="1">
      <c r="A79" s="194" t="s">
        <v>40</v>
      </c>
      <c r="B79" s="195"/>
      <c r="C79" s="195"/>
      <c r="D79" s="195"/>
      <c r="E79" s="195"/>
      <c r="F79" s="195"/>
      <c r="G79" s="195"/>
      <c r="H79" s="195"/>
      <c r="I79" s="195"/>
      <c r="J79" s="195"/>
      <c r="K79" s="195"/>
      <c r="L79" s="195"/>
      <c r="M79" s="195"/>
      <c r="N79" s="195"/>
      <c r="O79" s="195"/>
      <c r="P79" s="195"/>
      <c r="Q79" s="195"/>
      <c r="R79" s="195"/>
      <c r="S79" s="195"/>
      <c r="T79" s="195"/>
      <c r="U79" s="195"/>
      <c r="V79" s="195"/>
      <c r="W79" s="195"/>
      <c r="X79" s="195"/>
      <c r="Y79" s="195"/>
      <c r="Z79" s="195"/>
      <c r="AA79" s="195"/>
      <c r="AB79" s="195"/>
      <c r="AC79" s="195"/>
      <c r="AD79" s="195"/>
      <c r="AE79" s="195"/>
      <c r="AF79" s="195"/>
      <c r="AG79" s="195"/>
      <c r="AH79" s="195"/>
      <c r="AI79" s="195"/>
      <c r="AJ79" s="195"/>
      <c r="AK79" s="195"/>
      <c r="AL79" s="195"/>
      <c r="AM79" s="195"/>
      <c r="AN79" s="195"/>
      <c r="AO79" s="196"/>
      <c r="AP79" s="1"/>
      <c r="AQ79" s="2"/>
    </row>
    <row r="80" spans="1:43" s="3" customFormat="1" ht="11.25" customHeight="1">
      <c r="A80" s="197" t="s">
        <v>41</v>
      </c>
      <c r="B80" s="198"/>
      <c r="C80" s="198"/>
      <c r="D80" s="198"/>
      <c r="E80" s="198"/>
      <c r="F80" s="198"/>
      <c r="G80" s="198"/>
      <c r="H80" s="198"/>
      <c r="I80" s="43"/>
      <c r="J80" s="43"/>
      <c r="K80" s="43"/>
      <c r="L80" s="43"/>
      <c r="M80" s="43"/>
      <c r="N80" s="43"/>
      <c r="O80" s="43"/>
      <c r="P80" s="43"/>
      <c r="Q80" s="199"/>
      <c r="R80" s="200" t="s">
        <v>42</v>
      </c>
      <c r="S80" s="200"/>
      <c r="T80" s="200"/>
      <c r="U80" s="200"/>
      <c r="V80" s="43"/>
      <c r="W80" s="43"/>
      <c r="X80" s="43"/>
      <c r="Y80" s="43"/>
      <c r="Z80" s="43"/>
      <c r="AA80" s="43"/>
      <c r="AB80" s="43"/>
      <c r="AC80" s="201" t="s">
        <v>43</v>
      </c>
      <c r="AD80" s="201"/>
      <c r="AE80" s="201"/>
      <c r="AF80" s="201"/>
      <c r="AG80" s="201"/>
      <c r="AH80" s="43"/>
      <c r="AI80" s="43"/>
      <c r="AJ80" s="43"/>
      <c r="AK80" s="43"/>
      <c r="AL80" s="43"/>
      <c r="AM80" s="43"/>
      <c r="AN80" s="43"/>
      <c r="AO80" s="172"/>
      <c r="AP80" s="1"/>
      <c r="AQ80" s="2"/>
    </row>
    <row r="81" spans="1:43" s="3" customFormat="1" ht="11.25" customHeight="1" thickBot="1">
      <c r="A81" s="212" t="s">
        <v>44</v>
      </c>
      <c r="B81" s="213"/>
      <c r="C81" s="213"/>
      <c r="D81" s="213"/>
      <c r="E81" s="213"/>
      <c r="F81" s="213"/>
      <c r="G81" s="213"/>
      <c r="H81" s="213"/>
      <c r="I81" s="24"/>
      <c r="J81" s="24"/>
      <c r="K81" s="24"/>
      <c r="L81" s="24"/>
      <c r="M81" s="24"/>
      <c r="N81" s="24"/>
      <c r="O81" s="24"/>
      <c r="P81" s="24"/>
      <c r="Q81" s="24"/>
      <c r="R81" s="214"/>
      <c r="S81" s="214"/>
      <c r="T81" s="214"/>
      <c r="U81" s="214"/>
      <c r="V81" s="24"/>
      <c r="W81" s="24"/>
      <c r="X81" s="24"/>
      <c r="Y81" s="24"/>
      <c r="Z81" s="24"/>
      <c r="AA81" s="24"/>
      <c r="AB81" s="24"/>
      <c r="AC81" s="215" t="s">
        <v>7</v>
      </c>
      <c r="AD81" s="215"/>
      <c r="AE81" s="215"/>
      <c r="AF81" s="215"/>
      <c r="AG81" s="215"/>
      <c r="AH81" s="24"/>
      <c r="AI81" s="24"/>
      <c r="AJ81" s="24"/>
      <c r="AK81" s="24"/>
      <c r="AL81" s="24"/>
      <c r="AM81" s="24"/>
      <c r="AN81" s="24"/>
      <c r="AO81" s="216"/>
      <c r="AP81" s="1"/>
      <c r="AQ81" s="2"/>
    </row>
    <row r="82" spans="1:43" s="3" customFormat="1" ht="11.25" customHeight="1">
      <c r="A82" s="1" t="s">
        <v>47</v>
      </c>
      <c r="B82" s="217"/>
      <c r="C82" s="217"/>
      <c r="D82" s="217"/>
      <c r="E82" s="217"/>
      <c r="F82" s="217"/>
      <c r="G82" s="217"/>
      <c r="H82" s="217"/>
      <c r="I82" s="217"/>
      <c r="J82" s="217"/>
      <c r="K82" s="217"/>
      <c r="L82" s="217"/>
      <c r="M82" s="217"/>
      <c r="N82" s="217"/>
      <c r="O82" s="217"/>
      <c r="P82" s="217"/>
      <c r="Q82" s="217"/>
      <c r="R82" s="217"/>
      <c r="S82" s="217"/>
      <c r="T82" s="217"/>
      <c r="U82" s="217"/>
      <c r="V82" s="217"/>
      <c r="W82" s="217"/>
      <c r="X82" s="217"/>
      <c r="Y82" s="1"/>
      <c r="Z82" s="217"/>
      <c r="AA82" s="217"/>
      <c r="AB82" s="217"/>
      <c r="AC82" s="217"/>
      <c r="AD82" s="217"/>
      <c r="AE82" s="217"/>
      <c r="AF82" s="217"/>
      <c r="AG82" s="217"/>
      <c r="AH82" s="217"/>
      <c r="AI82" s="217"/>
      <c r="AJ82" s="217"/>
      <c r="AK82" s="217"/>
      <c r="AL82" s="217"/>
      <c r="AM82" s="217"/>
      <c r="AN82" s="217"/>
      <c r="AO82" s="217"/>
      <c r="AP82" s="1"/>
      <c r="AQ82" s="2"/>
    </row>
    <row r="83" spans="1:43" s="3" customFormat="1" ht="11.25" customHeight="1">
      <c r="A83" s="1"/>
      <c r="B83" s="217"/>
      <c r="C83" s="217"/>
      <c r="D83" s="217"/>
      <c r="E83" s="217"/>
      <c r="F83" s="217"/>
      <c r="G83" s="217"/>
      <c r="H83" s="217"/>
      <c r="I83" s="217"/>
      <c r="J83" s="217"/>
      <c r="K83" s="217"/>
      <c r="L83" s="217"/>
      <c r="M83" s="217"/>
      <c r="N83" s="217"/>
      <c r="O83" s="217"/>
      <c r="P83" s="217"/>
      <c r="Q83" s="217"/>
      <c r="R83" s="217"/>
      <c r="S83" s="217"/>
      <c r="T83" s="217"/>
      <c r="U83" s="217"/>
      <c r="V83" s="217"/>
      <c r="W83" s="217"/>
      <c r="X83" s="217"/>
      <c r="Y83" s="1"/>
      <c r="Z83" s="217"/>
      <c r="AA83" s="217"/>
      <c r="AB83" s="217"/>
      <c r="AC83" s="217"/>
      <c r="AD83" s="217"/>
      <c r="AE83" s="217"/>
      <c r="AF83" s="217"/>
      <c r="AG83" s="217"/>
      <c r="AH83" s="217"/>
      <c r="AI83" s="217"/>
      <c r="AJ83" s="217"/>
      <c r="AK83" s="217"/>
      <c r="AL83" s="217"/>
      <c r="AM83" s="217"/>
      <c r="AN83" s="217"/>
      <c r="AO83" s="217"/>
      <c r="AP83" s="1"/>
      <c r="AQ83" s="2"/>
    </row>
    <row r="84" spans="1:43" s="3" customFormat="1" ht="11.2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2"/>
    </row>
    <row r="85" spans="1:43" s="3" customFormat="1" ht="11.2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2"/>
    </row>
    <row r="86" spans="1:43" s="3" customFormat="1" ht="11.2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2"/>
    </row>
    <row r="87" spans="1:43" s="3" customFormat="1" ht="11.2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2"/>
    </row>
    <row r="88" spans="1:43" s="3" customFormat="1" ht="11.2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2"/>
    </row>
    <row r="89" spans="1:43" s="3" customFormat="1" ht="11.2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2"/>
    </row>
    <row r="90" spans="1:43" s="3" customFormat="1" ht="11.2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2"/>
    </row>
    <row r="91" spans="1:43" s="3" customFormat="1" ht="11.2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2"/>
    </row>
    <row r="92" spans="1:43" s="3" customFormat="1" ht="11.2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2"/>
    </row>
    <row r="93" spans="1:43" s="3" customFormat="1" ht="11.2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2"/>
    </row>
    <row r="94" spans="1:43" s="3" customFormat="1" ht="11.2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2"/>
    </row>
    <row r="95" spans="1:43" s="3" customFormat="1" ht="11.2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2"/>
    </row>
    <row r="96" spans="1:43" s="3" customFormat="1" ht="11.2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2"/>
    </row>
    <row r="97" spans="1:43" s="3" customFormat="1" ht="11.2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2"/>
    </row>
    <row r="98" spans="1:43" s="3" customFormat="1" ht="11.2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2"/>
    </row>
    <row r="99" spans="1:43" s="3" customFormat="1" ht="11.2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2"/>
    </row>
    <row r="100" spans="1:43" s="3" customFormat="1" ht="11.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2"/>
    </row>
    <row r="101" spans="1:43" s="3" customFormat="1" ht="11.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2"/>
    </row>
    <row r="102" spans="1:43" s="3" customFormat="1" ht="11.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2"/>
    </row>
    <row r="103" spans="1:43" s="3" customFormat="1" ht="11.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2"/>
    </row>
    <row r="104" spans="1:43" s="3" customFormat="1" ht="11.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2"/>
    </row>
    <row r="105" spans="1:43" s="3" customFormat="1" ht="11.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2"/>
    </row>
    <row r="106" spans="1:43" s="3" customFormat="1"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2"/>
    </row>
    <row r="107" spans="1:43" s="3" customFormat="1"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2"/>
    </row>
    <row r="108" spans="1:43" s="3" customFormat="1" ht="13.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2"/>
    </row>
    <row r="109" spans="1:43" s="3" customFormat="1"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2"/>
    </row>
    <row r="110" spans="1:43" s="3" customFormat="1" ht="13.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2"/>
    </row>
    <row r="111" spans="1:43" s="3" customFormat="1" ht="13.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2"/>
    </row>
  </sheetData>
  <mergeCells count="177">
    <mergeCell ref="B6:E8"/>
    <mergeCell ref="A9:G9"/>
    <mergeCell ref="B5:E5"/>
    <mergeCell ref="A3:C4"/>
    <mergeCell ref="D3:E4"/>
    <mergeCell ref="A74:AO74"/>
    <mergeCell ref="A75:AO77"/>
    <mergeCell ref="A78:AO78"/>
    <mergeCell ref="A79:AO79"/>
    <mergeCell ref="A80:H80"/>
    <mergeCell ref="R80:U81"/>
    <mergeCell ref="AC80:AG80"/>
    <mergeCell ref="A81:H81"/>
    <mergeCell ref="AC81:AG81"/>
    <mergeCell ref="AI65:AO65"/>
    <mergeCell ref="A66:AO66"/>
    <mergeCell ref="A67:AO69"/>
    <mergeCell ref="A70:AO70"/>
    <mergeCell ref="A71:AO71"/>
    <mergeCell ref="A72:H72"/>
    <mergeCell ref="R72:U73"/>
    <mergeCell ref="AC72:AG72"/>
    <mergeCell ref="A73:H73"/>
    <mergeCell ref="AC73:AG73"/>
    <mergeCell ref="A65:K65"/>
    <mergeCell ref="L65:N65"/>
    <mergeCell ref="O65:S65"/>
    <mergeCell ref="T65:X65"/>
    <mergeCell ref="Y65:AC65"/>
    <mergeCell ref="AD65:AH65"/>
    <mergeCell ref="AI63:AO63"/>
    <mergeCell ref="A64:K64"/>
    <mergeCell ref="L64:N64"/>
    <mergeCell ref="O64:S64"/>
    <mergeCell ref="T64:X64"/>
    <mergeCell ref="Y64:AC64"/>
    <mergeCell ref="AD64:AH64"/>
    <mergeCell ref="AI64:AO64"/>
    <mergeCell ref="A63:K63"/>
    <mergeCell ref="L63:N63"/>
    <mergeCell ref="O63:S63"/>
    <mergeCell ref="T63:X63"/>
    <mergeCell ref="Y63:AC63"/>
    <mergeCell ref="AD63:AH63"/>
    <mergeCell ref="AI59:AO59"/>
    <mergeCell ref="A60:K61"/>
    <mergeCell ref="A62:K62"/>
    <mergeCell ref="L62:N62"/>
    <mergeCell ref="O62:S62"/>
    <mergeCell ref="T62:X62"/>
    <mergeCell ref="Y62:AC62"/>
    <mergeCell ref="AD62:AH62"/>
    <mergeCell ref="AI62:AO62"/>
    <mergeCell ref="A59:K59"/>
    <mergeCell ref="L59:N59"/>
    <mergeCell ref="O59:S59"/>
    <mergeCell ref="T59:X59"/>
    <mergeCell ref="Y59:AC59"/>
    <mergeCell ref="AD59:AH59"/>
    <mergeCell ref="L58:N58"/>
    <mergeCell ref="O58:S58"/>
    <mergeCell ref="T58:X58"/>
    <mergeCell ref="Y58:AC58"/>
    <mergeCell ref="AD58:AH58"/>
    <mergeCell ref="AI58:AO58"/>
    <mergeCell ref="L57:N57"/>
    <mergeCell ref="O57:S57"/>
    <mergeCell ref="T57:X57"/>
    <mergeCell ref="Y57:AC57"/>
    <mergeCell ref="AD57:AH57"/>
    <mergeCell ref="AI57:AO57"/>
    <mergeCell ref="L56:N56"/>
    <mergeCell ref="O56:S56"/>
    <mergeCell ref="T56:X56"/>
    <mergeCell ref="Y56:AC56"/>
    <mergeCell ref="AD56:AH56"/>
    <mergeCell ref="AI56:AO56"/>
    <mergeCell ref="L55:N55"/>
    <mergeCell ref="O55:S55"/>
    <mergeCell ref="T55:X55"/>
    <mergeCell ref="Y55:AC55"/>
    <mergeCell ref="AD55:AH55"/>
    <mergeCell ref="AI55:AO55"/>
    <mergeCell ref="L54:N54"/>
    <mergeCell ref="O54:S54"/>
    <mergeCell ref="T54:X54"/>
    <mergeCell ref="Y54:AC54"/>
    <mergeCell ref="AD54:AH54"/>
    <mergeCell ref="AI54:AO54"/>
    <mergeCell ref="L53:N53"/>
    <mergeCell ref="O53:S53"/>
    <mergeCell ref="T53:X53"/>
    <mergeCell ref="Y53:AC53"/>
    <mergeCell ref="AD53:AH53"/>
    <mergeCell ref="AI53:AO53"/>
    <mergeCell ref="L52:N52"/>
    <mergeCell ref="O52:S52"/>
    <mergeCell ref="T52:X52"/>
    <mergeCell ref="Y52:AC52"/>
    <mergeCell ref="AD52:AH52"/>
    <mergeCell ref="AI52:AO52"/>
    <mergeCell ref="L51:N51"/>
    <mergeCell ref="O51:S51"/>
    <mergeCell ref="T51:X51"/>
    <mergeCell ref="Y51:AC51"/>
    <mergeCell ref="AD51:AH51"/>
    <mergeCell ref="AI51:AO51"/>
    <mergeCell ref="L50:N50"/>
    <mergeCell ref="O50:S50"/>
    <mergeCell ref="T50:X50"/>
    <mergeCell ref="Y50:AC50"/>
    <mergeCell ref="AD50:AH50"/>
    <mergeCell ref="AI50:AO50"/>
    <mergeCell ref="T48:X48"/>
    <mergeCell ref="Y48:AC48"/>
    <mergeCell ref="AD48:AH48"/>
    <mergeCell ref="AI48:AO48"/>
    <mergeCell ref="L49:N49"/>
    <mergeCell ref="O49:S49"/>
    <mergeCell ref="T49:X49"/>
    <mergeCell ref="Y49:AC49"/>
    <mergeCell ref="AD49:AH49"/>
    <mergeCell ref="AI49:AO49"/>
    <mergeCell ref="AQ45:AQ46"/>
    <mergeCell ref="A47:K50"/>
    <mergeCell ref="L47:N47"/>
    <mergeCell ref="O47:S47"/>
    <mergeCell ref="T47:X47"/>
    <mergeCell ref="Y47:AC47"/>
    <mergeCell ref="AD47:AH47"/>
    <mergeCell ref="AI47:AO47"/>
    <mergeCell ref="L48:N48"/>
    <mergeCell ref="O48:S48"/>
    <mergeCell ref="A43:AO43"/>
    <mergeCell ref="A44:K46"/>
    <mergeCell ref="L44:N46"/>
    <mergeCell ref="O44:AH44"/>
    <mergeCell ref="AI44:AO46"/>
    <mergeCell ref="O45:S46"/>
    <mergeCell ref="T45:X46"/>
    <mergeCell ref="Y45:AC46"/>
    <mergeCell ref="AD45:AH46"/>
    <mergeCell ref="A30:AO30"/>
    <mergeCell ref="A31:A33"/>
    <mergeCell ref="B31:M33"/>
    <mergeCell ref="B35:AN36"/>
    <mergeCell ref="B39:AI41"/>
    <mergeCell ref="AK40:AK41"/>
    <mergeCell ref="AL40:AL41"/>
    <mergeCell ref="AM40:AM41"/>
    <mergeCell ref="AN40:AN41"/>
    <mergeCell ref="B23:AI25"/>
    <mergeCell ref="AQ23:AU25"/>
    <mergeCell ref="AK24:AK25"/>
    <mergeCell ref="AL24:AL25"/>
    <mergeCell ref="AM24:AM25"/>
    <mergeCell ref="AN24:AN25"/>
    <mergeCell ref="A14:AO14"/>
    <mergeCell ref="A15:A17"/>
    <mergeCell ref="B15:M17"/>
    <mergeCell ref="AQ15:AQ17"/>
    <mergeCell ref="AR16:AR17"/>
    <mergeCell ref="B19:AN20"/>
    <mergeCell ref="AQ19:AT20"/>
    <mergeCell ref="A11:A13"/>
    <mergeCell ref="B11:E13"/>
    <mergeCell ref="H11:I13"/>
    <mergeCell ref="R11:U13"/>
    <mergeCell ref="Y11:Z13"/>
    <mergeCell ref="AI11:AO13"/>
    <mergeCell ref="H2:AG2"/>
    <mergeCell ref="AH2:AO2"/>
    <mergeCell ref="H3:AG3"/>
    <mergeCell ref="AH3:AO3"/>
    <mergeCell ref="H4:AG4"/>
    <mergeCell ref="L5:AB9"/>
    <mergeCell ref="AH9:AN9"/>
  </mergeCells>
  <dataValidations count="1">
    <dataValidation type="list" allowBlank="1" showInputMessage="1" showErrorMessage="1" sqref="AQ15" xr:uid="{1D64C51D-5660-411E-BCC1-65E44BA819B2}">
      <formula1>#REF!</formula1>
    </dataValidation>
  </dataValidation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JSTN ACE</dc:creator>
  <cp:lastModifiedBy>JSTN ACE</cp:lastModifiedBy>
  <dcterms:created xsi:type="dcterms:W3CDTF">2026-06-09T03:07:31Z</dcterms:created>
  <dcterms:modified xsi:type="dcterms:W3CDTF">2026-06-09T03:52:49Z</dcterms:modified>
</cp:coreProperties>
</file>